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0114\Downloads\"/>
    </mc:Choice>
  </mc:AlternateContent>
  <xr:revisionPtr revIDLastSave="0" documentId="8_{6EBA9DDD-F019-4651-8159-25BB773AB857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📋 Data Overview" sheetId="1" r:id="rId1"/>
    <sheet name="🧹 Data Cleaning" sheetId="2" r:id="rId2"/>
    <sheet name="📊 EDA" sheetId="3" r:id="rId3"/>
    <sheet name="📊 Dashboard" sheetId="4" r:id="rId4"/>
    <sheet name="🤖 Predictive 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<sst xmlns="http://schemas.openxmlformats.org/spreadsheetml/2006/main" count="534" uniqueCount="267">
  <si>
    <t>🎓 STUDENT PERFORMANCE DATASET — PROJECT OVERVIEW</t>
  </si>
  <si>
    <t>Comprehensive Analysis: 2,392 Students | 15 Features | Academic Performance Insights</t>
  </si>
  <si>
    <t>TASK 1 — Dataset Understanding</t>
  </si>
  <si>
    <t>Feature</t>
  </si>
  <si>
    <t>Data Type</t>
  </si>
  <si>
    <t>Description</t>
  </si>
  <si>
    <t>Unique Values / Range</t>
  </si>
  <si>
    <t>Role</t>
  </si>
  <si>
    <t>StudentID</t>
  </si>
  <si>
    <t>Integer</t>
  </si>
  <si>
    <t>Unique identifier for each student</t>
  </si>
  <si>
    <t>1001 – 3392</t>
  </si>
  <si>
    <t>ID</t>
  </si>
  <si>
    <t>Age</t>
  </si>
  <si>
    <t>Student age in years</t>
  </si>
  <si>
    <t>15, 16, 17, 18</t>
  </si>
  <si>
    <t>Gender</t>
  </si>
  <si>
    <t>Text</t>
  </si>
  <si>
    <t>Student gender</t>
  </si>
  <si>
    <t>Male, Female</t>
  </si>
  <si>
    <t>Ethnicity</t>
  </si>
  <si>
    <t>Encoded ethnicity group</t>
  </si>
  <si>
    <t>0 – 3</t>
  </si>
  <si>
    <t>ParentalEducation</t>
  </si>
  <si>
    <t>Highest education level of parent</t>
  </si>
  <si>
    <t>HS / Associate / Bachelor / Master</t>
  </si>
  <si>
    <t>StudyTimeWeekly</t>
  </si>
  <si>
    <t>Float</t>
  </si>
  <si>
    <t>Weekly study hours</t>
  </si>
  <si>
    <t>0 – 20 hrs</t>
  </si>
  <si>
    <t>Absences</t>
  </si>
  <si>
    <t>Number of school absences</t>
  </si>
  <si>
    <t>0 – 29 days</t>
  </si>
  <si>
    <t>Tutoring</t>
  </si>
  <si>
    <t>Whether student received tutoring</t>
  </si>
  <si>
    <t>Yes, No</t>
  </si>
  <si>
    <t>ParentalSupport</t>
  </si>
  <si>
    <t>Level of parental support at home</t>
  </si>
  <si>
    <t>No/Low/Moderate/High/Very High</t>
  </si>
  <si>
    <t>Extracurricular</t>
  </si>
  <si>
    <t>Participates in extracurricular activities</t>
  </si>
  <si>
    <t>Sports</t>
  </si>
  <si>
    <t>Participates in sports</t>
  </si>
  <si>
    <t>Music</t>
  </si>
  <si>
    <t>Participates in music activities</t>
  </si>
  <si>
    <t>Volunteering</t>
  </si>
  <si>
    <t>Participates in volunteering</t>
  </si>
  <si>
    <t>GPA</t>
  </si>
  <si>
    <t>Grade Point Average (target variable)</t>
  </si>
  <si>
    <t>0.00 – 4.00</t>
  </si>
  <si>
    <t>Target</t>
  </si>
  <si>
    <t>GradeClass</t>
  </si>
  <si>
    <t>Grade classification (0=A to 4=F)</t>
  </si>
  <si>
    <t>0, 1, 2, 3, 4</t>
  </si>
  <si>
    <t>TASK 1 — Quick Dataset Summary</t>
  </si>
  <si>
    <t>Metric</t>
  </si>
  <si>
    <t>Value</t>
  </si>
  <si>
    <t>Total Records</t>
  </si>
  <si>
    <t>Total Features</t>
  </si>
  <si>
    <t>Numeric Features</t>
  </si>
  <si>
    <t>Categorical Features</t>
  </si>
  <si>
    <t>Target Variable</t>
  </si>
  <si>
    <t>GPA / GradeClass</t>
  </si>
  <si>
    <t>Missing Values</t>
  </si>
  <si>
    <t>243 in ParentalEducation</t>
  </si>
  <si>
    <t>Age Range</t>
  </si>
  <si>
    <t>15 – 18 years</t>
  </si>
  <si>
    <t>GPA Range</t>
  </si>
  <si>
    <t>TASK 2 — Data Cleaning &amp; Preprocessing</t>
  </si>
  <si>
    <t>Missing Values Analysis</t>
  </si>
  <si>
    <t>Column</t>
  </si>
  <si>
    <t>Missing Count</t>
  </si>
  <si>
    <t>Missing %</t>
  </si>
  <si>
    <t>Action Taken</t>
  </si>
  <si>
    <t>Status</t>
  </si>
  <si>
    <t>Filled with mode: 'Associate Degree'</t>
  </si>
  <si>
    <t>✅ Fixed</t>
  </si>
  <si>
    <t>All Other Columns</t>
  </si>
  <si>
    <t>No action required</t>
  </si>
  <si>
    <t>✅ Clean</t>
  </si>
  <si>
    <t>Preprocessing Steps Applied</t>
  </si>
  <si>
    <t>Step</t>
  </si>
  <si>
    <t>Task</t>
  </si>
  <si>
    <t>Details</t>
  </si>
  <si>
    <t>Step 1</t>
  </si>
  <si>
    <t>Handle Missing Values</t>
  </si>
  <si>
    <t>ParentalEducation: 243 nulls filled with mode</t>
  </si>
  <si>
    <t>✅ Done</t>
  </si>
  <si>
    <t>Step 2</t>
  </si>
  <si>
    <t>Remove Duplicate Rows</t>
  </si>
  <si>
    <t>0 duplicate records found</t>
  </si>
  <si>
    <t>Step 3</t>
  </si>
  <si>
    <t>Verify Data Types</t>
  </si>
  <si>
    <t>All numeric/text columns confirmed correct</t>
  </si>
  <si>
    <t>Step 4</t>
  </si>
  <si>
    <t>Outlier Check (IQR)</t>
  </si>
  <si>
    <t>GPA, StudyTime, Absences — No extreme outliers</t>
  </si>
  <si>
    <t>Step 5</t>
  </si>
  <si>
    <t>Encode Categorical</t>
  </si>
  <si>
    <t>Yes/No → 1/0 | Gender, ParentalSupport encoded</t>
  </si>
  <si>
    <t>Step 6</t>
  </si>
  <si>
    <t>Feature Validation</t>
  </si>
  <si>
    <t>GPA capped 0-4; Ages 15-18; Absences 0-29 — all valid</t>
  </si>
  <si>
    <t>Step 7</t>
  </si>
  <si>
    <t>Final Record Count</t>
  </si>
  <si>
    <t>2,392 clean records ready for analysis</t>
  </si>
  <si>
    <t>Cleaned Dataset — Sample (First 20 Rows)</t>
  </si>
  <si>
    <t>Female</t>
  </si>
  <si>
    <t>Associate Degree</t>
  </si>
  <si>
    <t>Yes</t>
  </si>
  <si>
    <t>Male</t>
  </si>
  <si>
    <t>High School</t>
  </si>
  <si>
    <t>No</t>
  </si>
  <si>
    <t>Bachelor Degree</t>
  </si>
  <si>
    <t>Master Degree</t>
  </si>
  <si>
    <t>TASK 3 — Exploratory Data Analysis (EDA)</t>
  </si>
  <si>
    <t>Descriptive Statistics — Numeric Columns</t>
  </si>
  <si>
    <t>Statistic</t>
  </si>
  <si>
    <t>Count</t>
  </si>
  <si>
    <t>Mean</t>
  </si>
  <si>
    <t>Std Dev</t>
  </si>
  <si>
    <t>Min</t>
  </si>
  <si>
    <t>25th Pct</t>
  </si>
  <si>
    <t>Median</t>
  </si>
  <si>
    <t>75th Pct</t>
  </si>
  <si>
    <t>Max</t>
  </si>
  <si>
    <t>Gender Distribution</t>
  </si>
  <si>
    <t>Avg GPA by Grade Class</t>
  </si>
  <si>
    <t>Percentage</t>
  </si>
  <si>
    <t>Grade Class</t>
  </si>
  <si>
    <t>Label</t>
  </si>
  <si>
    <t>Avg GPA</t>
  </si>
  <si>
    <t>51.1%</t>
  </si>
  <si>
    <t>A</t>
  </si>
  <si>
    <t>48.9%</t>
  </si>
  <si>
    <t>B</t>
  </si>
  <si>
    <t>C</t>
  </si>
  <si>
    <t>D</t>
  </si>
  <si>
    <t>F</t>
  </si>
  <si>
    <t>Correlation Matrix (Numeric Features vs GPA)</t>
  </si>
  <si>
    <t>Effect of Tutoring on GPA</t>
  </si>
  <si>
    <t>Parental Support vs Avg GPA</t>
  </si>
  <si>
    <t>Avg Absences</t>
  </si>
  <si>
    <t>Parental Support</t>
  </si>
  <si>
    <t>No Support</t>
  </si>
  <si>
    <t>Low Support</t>
  </si>
  <si>
    <t>Moderate Support</t>
  </si>
  <si>
    <t>High Support</t>
  </si>
  <si>
    <t>Very High Support</t>
  </si>
  <si>
    <t>🎓  STUDENT PERFORMANCE ANALYTICS DASHBOARD</t>
  </si>
  <si>
    <t>◈  KEY PERFORMANCE INDICATORS</t>
  </si>
  <si>
    <t>2,392</t>
  </si>
  <si>
    <t>1.91</t>
  </si>
  <si>
    <t>14.5</t>
  </si>
  <si>
    <t>4.5%</t>
  </si>
  <si>
    <t>50.6%</t>
  </si>
  <si>
    <t>📚  Total Students</t>
  </si>
  <si>
    <t>⭐  Average GPA</t>
  </si>
  <si>
    <t>📅  Avg Absences / Year</t>
  </si>
  <si>
    <t>🏆  Grade A Students</t>
  </si>
  <si>
    <t>⚠️  At-Risk (Grade F)</t>
  </si>
  <si>
    <t>📊  Avg GPA by Grade Class</t>
  </si>
  <si>
    <t>📚  Avg Study Hours by Grade</t>
  </si>
  <si>
    <t>🗓  Avg Absences by Grade</t>
  </si>
  <si>
    <t>👥  Gender Distribution</t>
  </si>
  <si>
    <t>🏠  Parental Support Impact on GPA</t>
  </si>
  <si>
    <t>✏️  Tutoring Effect on GPA</t>
  </si>
  <si>
    <t>◈  KEY INSIGHTS &amp; FINDINGS</t>
  </si>
  <si>
    <t>🔴</t>
  </si>
  <si>
    <t>High-Risk Factor</t>
  </si>
  <si>
    <t>Absences are the #1 predictor — correlation with GPA is -0.92</t>
  </si>
  <si>
    <t>🟢</t>
  </si>
  <si>
    <t>Study Time Impact</t>
  </si>
  <si>
    <t>Grade A students study ~2.7 hrs/week more than Grade F students</t>
  </si>
  <si>
    <t>🔵</t>
  </si>
  <si>
    <t>Tutoring Benefit</t>
  </si>
  <si>
    <t>Students receiving tutoring average 0.29 higher GPA (1.82 → 2.11)</t>
  </si>
  <si>
    <t>🟡</t>
  </si>
  <si>
    <t>Very High Support students score 0.65 GPA points above No-Support peers</t>
  </si>
  <si>
    <t>🟣</t>
  </si>
  <si>
    <t>Gender Balance</t>
  </si>
  <si>
    <t>Nearly equal gender split: 51.1% Female vs 48.9% Male</t>
  </si>
  <si>
    <t>⚪</t>
  </si>
  <si>
    <t>Grade Distribution</t>
  </si>
  <si>
    <t>50.6% of students fall in Grade F — significant at-risk population</t>
  </si>
  <si>
    <t>Grade</t>
  </si>
  <si>
    <t>Avg Study Hrs</t>
  </si>
  <si>
    <t>Grade A</t>
  </si>
  <si>
    <t>◈  CORRELATION MATRIX  (Numeric Features vs GPA)</t>
  </si>
  <si>
    <t>Grade B</t>
  </si>
  <si>
    <t>Study Time</t>
  </si>
  <si>
    <t>Grade C</t>
  </si>
  <si>
    <t>1.000</t>
  </si>
  <si>
    <t>-0.007</t>
  </si>
  <si>
    <t>-0.012</t>
  </si>
  <si>
    <t>0.000</t>
  </si>
  <si>
    <t>Grade D</t>
  </si>
  <si>
    <t>+0.009</t>
  </si>
  <si>
    <t>+0.179</t>
  </si>
  <si>
    <t>Grade F</t>
  </si>
  <si>
    <t>⚠ -0.919</t>
  </si>
  <si>
    <t>Support Level</t>
  </si>
  <si>
    <t>Moderate</t>
  </si>
  <si>
    <t>Very High</t>
  </si>
  <si>
    <t>No Tutoring</t>
  </si>
  <si>
    <t>With Tutoring</t>
  </si>
  <si>
    <t>TASK 5 — Predictive Model / Insight Project</t>
  </si>
  <si>
    <t>📌 Model: GPA Prediction using Weighted Score Formula</t>
  </si>
  <si>
    <t>Item</t>
  </si>
  <si>
    <t>Objective</t>
  </si>
  <si>
    <t>Predict student GPA category (Excellent / Good / Average / Poor) using key academic features</t>
  </si>
  <si>
    <t>Approach</t>
  </si>
  <si>
    <t>Rule-based scoring model with weighted factors — works entirely in Excel formulas</t>
  </si>
  <si>
    <t>Features Used</t>
  </si>
  <si>
    <t>StudyTimeWeekly, Absences, Tutoring, ParentalSupport, Extracurricular</t>
  </si>
  <si>
    <t>Output</t>
  </si>
  <si>
    <t>Predicted GPA Score (0-100) + Grade Category + Risk Level</t>
  </si>
  <si>
    <t>Validation</t>
  </si>
  <si>
    <t>Compare Predicted Category vs Actual GradeClass across 2,392 students</t>
  </si>
  <si>
    <t>Scoring Weights Used in Model</t>
  </si>
  <si>
    <t>Weight</t>
  </si>
  <si>
    <t>Logic</t>
  </si>
  <si>
    <t>30%</t>
  </si>
  <si>
    <t>Higher study time → higher score</t>
  </si>
  <si>
    <t>More absences → lower score (penalized)</t>
  </si>
  <si>
    <t>15%</t>
  </si>
  <si>
    <t>Receiving tutoring adds bonus</t>
  </si>
  <si>
    <t>Higher support → higher score</t>
  </si>
  <si>
    <t>10%</t>
  </si>
  <si>
    <t>Participation adds small bonus</t>
  </si>
  <si>
    <t>Model Results — Avg Predicted Score by Actual Grade Class</t>
  </si>
  <si>
    <t>Avg Predicted Score</t>
  </si>
  <si>
    <t>Avg Actual GPA</t>
  </si>
  <si>
    <t>Dominant Prediction</t>
  </si>
  <si>
    <t>Assessment</t>
  </si>
  <si>
    <t>Excellent</t>
  </si>
  <si>
    <t>✅ Strong Signal</t>
  </si>
  <si>
    <t>Good</t>
  </si>
  <si>
    <t>Average</t>
  </si>
  <si>
    <t>⚠️ Moderate</t>
  </si>
  <si>
    <t>❌ Low GPA Zone</t>
  </si>
  <si>
    <t>Poor</t>
  </si>
  <si>
    <t>Sample Student Predictions — First 30 Students</t>
  </si>
  <si>
    <t>Study Hrs/Wk</t>
  </si>
  <si>
    <t>Actual GPA</t>
  </si>
  <si>
    <t>Pred Score</t>
  </si>
  <si>
    <t>Pred Category</t>
  </si>
  <si>
    <t>💡 Key Insights from Analysis</t>
  </si>
  <si>
    <t>Icon</t>
  </si>
  <si>
    <t>Insight</t>
  </si>
  <si>
    <t>📉</t>
  </si>
  <si>
    <t>Absences are the strongest negative predictor of GPA — each extra absence reduces GPA significantly.</t>
  </si>
  <si>
    <t>📚</t>
  </si>
  <si>
    <t>Students who study 10+ hours/week have a GPA averaging 2.5+ vs 1.2 for low-study students.</t>
  </si>
  <si>
    <t>👨‍👩‍👧</t>
  </si>
  <si>
    <t>Parental support above 'Moderate' correlates with a +0.4 GPA improvement on average.</t>
  </si>
  <si>
    <t>🎓</t>
  </si>
  <si>
    <t>Tutoring raises GPA by ~0.3 points on average; beneficial especially for Grade C/D students.</t>
  </si>
  <si>
    <t>🏃</t>
  </si>
  <si>
    <t>Extracurricular activities show a small positive effect — suggesting well-rounded students perform better.</t>
  </si>
  <si>
    <t>⚠️</t>
  </si>
  <si>
    <t>Grade F students have avg 17.9 absences vs 5.3 for Grade A — attendance is critical!</t>
  </si>
  <si>
    <t>🔮</t>
  </si>
  <si>
    <t>The weighted model correctly identifies trend direction: higher scores align with higher actual GPAs.</t>
  </si>
  <si>
    <t>Student Performance Analytics Dashboard</t>
  </si>
  <si>
    <t xml:space="preserve">📊 2,392 Students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</si>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</sst>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00"/>
    <numFmt numFmtId="166" formatCode="0.0"/>
  </numFmts>
  <fonts count="4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2E75B6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70AD47"/>
      <name val="Arial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18"/>
      <color rgb="FF58A6FF"/>
      <name val="Calibri"/>
      <charset val="1"/>
    </font>
    <font>
      <sz val="11"/>
      <color rgb="FF8B949E"/>
      <name val="Calibri"/>
      <charset val="1"/>
    </font>
    <font>
      <b/>
      <sz val="9"/>
      <color rgb="FF8B949E"/>
      <name val="Calibri"/>
      <charset val="1"/>
    </font>
    <font>
      <b/>
      <sz val="22"/>
      <color rgb="FF58A6FF"/>
      <name val="Calibri"/>
      <charset val="1"/>
    </font>
    <font>
      <b/>
      <sz val="22"/>
      <color rgb="FF3FB950"/>
      <name val="Calibri"/>
      <charset val="1"/>
    </font>
    <font>
      <b/>
      <sz val="22"/>
      <color rgb="FFF0883E"/>
      <name val="Calibri"/>
      <charset val="1"/>
    </font>
    <font>
      <b/>
      <sz val="22"/>
      <color rgb="FFFFD700"/>
      <name val="Calibri"/>
      <charset val="1"/>
    </font>
    <font>
      <b/>
      <sz val="22"/>
      <color rgb="FFFF6B6B"/>
      <name val="Calibri"/>
      <charset val="1"/>
    </font>
    <font>
      <sz val="9"/>
      <color rgb="FF8B949E"/>
      <name val="Calibri"/>
      <charset val="1"/>
    </font>
    <font>
      <b/>
      <sz val="10"/>
      <color rgb="FF58A6FF"/>
      <name val="Calibri"/>
      <charset val="1"/>
    </font>
    <font>
      <b/>
      <sz val="10"/>
      <color rgb="FF3FB950"/>
      <name val="Calibri"/>
      <charset val="1"/>
    </font>
    <font>
      <b/>
      <sz val="10"/>
      <color rgb="FFFF6B6B"/>
      <name val="Calibri"/>
      <charset val="1"/>
    </font>
    <font>
      <b/>
      <sz val="10"/>
      <color rgb="FFBC8CFF"/>
      <name val="Calibri"/>
      <charset val="1"/>
    </font>
    <font>
      <b/>
      <sz val="10"/>
      <color rgb="FFFFD700"/>
      <name val="Calibri"/>
      <charset val="1"/>
    </font>
    <font>
      <b/>
      <sz val="10"/>
      <color rgb="FF39D3E8"/>
      <name val="Calibri"/>
      <charset val="1"/>
    </font>
    <font>
      <sz val="12"/>
      <color rgb="FFFF6B6B"/>
      <name val="Calibri"/>
      <charset val="1"/>
    </font>
    <font>
      <sz val="10"/>
      <color rgb="FFE6EDF3"/>
      <name val="Calibri"/>
      <charset val="1"/>
    </font>
    <font>
      <sz val="12"/>
      <color rgb="FF3FB950"/>
      <name val="Calibri"/>
      <charset val="1"/>
    </font>
    <font>
      <sz val="12"/>
      <color rgb="FF58A6FF"/>
      <name val="Calibri"/>
      <charset val="1"/>
    </font>
    <font>
      <sz val="12"/>
      <color rgb="FFFFD700"/>
      <name val="Calibri"/>
      <charset val="1"/>
    </font>
    <font>
      <sz val="12"/>
      <color rgb="FFBC8CFF"/>
      <name val="Calibri"/>
      <charset val="1"/>
    </font>
    <font>
      <sz val="12"/>
      <color rgb="FF8B949E"/>
      <name val="Calibri"/>
      <charset val="1"/>
    </font>
    <font>
      <b/>
      <sz val="10"/>
      <color rgb="FF8B949E"/>
      <name val="Calibri"/>
      <charset val="1"/>
    </font>
    <font>
      <b/>
      <sz val="10"/>
      <color rgb="FF0D1117"/>
      <name val="Calibri"/>
      <charset val="1"/>
    </font>
    <font>
      <sz val="10"/>
      <color rgb="FF39D3E8"/>
      <name val="Calibri"/>
      <charset val="1"/>
    </font>
    <font>
      <sz val="10"/>
      <color rgb="FF3FB950"/>
      <name val="Calibri"/>
      <charset val="1"/>
    </font>
    <font>
      <b/>
      <sz val="10"/>
      <color rgb="FFFF0000"/>
      <name val="Arial"/>
      <charset val="1"/>
    </font>
    <font>
      <b/>
      <sz val="10"/>
      <color rgb="FFED7D31"/>
      <name val="Arial"/>
      <charset val="1"/>
    </font>
    <font>
      <b/>
      <sz val="10"/>
      <color rgb="FF2E75B6"/>
      <name val="Arial"/>
      <charset val="1"/>
    </font>
    <font>
      <sz val="10"/>
      <color rgb="FFE6EDF3"/>
      <name val="Calibri"/>
      <family val="2"/>
    </font>
    <font>
      <b/>
      <sz val="10"/>
      <color rgb="FF58A6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0D0D0"/>
      </patternFill>
    </fill>
    <fill>
      <patternFill patternType="solid">
        <fgColor rgb="FFFFE0E0"/>
        <bgColor rgb="FFF2F2F2"/>
      </patternFill>
    </fill>
    <fill>
      <patternFill patternType="solid">
        <fgColor rgb="FF0D1117"/>
        <bgColor rgb="FF161B22"/>
      </patternFill>
    </fill>
    <fill>
      <patternFill patternType="solid">
        <fgColor rgb="FF58A6FF"/>
        <bgColor rgb="FF4F81BD"/>
      </patternFill>
    </fill>
    <fill>
      <patternFill patternType="solid">
        <fgColor rgb="FF1C2128"/>
        <bgColor rgb="FF161B22"/>
      </patternFill>
    </fill>
    <fill>
      <patternFill patternType="solid">
        <fgColor rgb="FF3FB950"/>
        <bgColor rgb="FF70AD47"/>
      </patternFill>
    </fill>
    <fill>
      <patternFill patternType="solid">
        <fgColor rgb="FFF0883E"/>
        <bgColor rgb="FFED7D31"/>
      </patternFill>
    </fill>
    <fill>
      <patternFill patternType="solid">
        <fgColor rgb="FFFFD700"/>
        <bgColor rgb="FFFFFF00"/>
      </patternFill>
    </fill>
    <fill>
      <patternFill patternType="solid">
        <fgColor rgb="FFFF6B6B"/>
        <bgColor rgb="FFED7D31"/>
      </patternFill>
    </fill>
    <fill>
      <patternFill patternType="solid">
        <fgColor rgb="FF161B22"/>
        <bgColor rgb="FF1C212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4" fillId="15" borderId="0" xfId="0" applyFont="1" applyFill="1" applyAlignment="1">
      <alignment horizontal="left" vertical="center"/>
    </xf>
    <xf numFmtId="0" fontId="23" fillId="15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6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center" vertical="center"/>
    </xf>
    <xf numFmtId="0" fontId="32" fillId="15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left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36" fillId="15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34" fillId="9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23" fillId="15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25" fillId="15" borderId="0" xfId="0" applyFont="1" applyFill="1" applyAlignment="1">
      <alignment horizontal="left" vertical="center"/>
    </xf>
    <xf numFmtId="0" fontId="19" fillId="15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right" vertical="center"/>
    </xf>
    <xf numFmtId="0" fontId="14" fillId="15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40" fillId="15" borderId="0" xfId="0" applyFont="1" applyFill="1" applyAlignment="1">
      <alignment horizontal="left" vertical="center"/>
    </xf>
    <xf numFmtId="0" fontId="41" fillId="1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78787"/>
      <rgbColor rgb="FFAAAAAA"/>
      <rgbColor rgb="FF993366"/>
      <rgbColor rgb="FFF9F9F9"/>
      <rgbColor rgb="FFE6EDF3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58A6FF"/>
      <rgbColor rgb="FFFF99CC"/>
      <rgbColor rgb="FFBC8CFF"/>
      <rgbColor rgb="FFFFE0E0"/>
      <rgbColor rgb="FF2E75B6"/>
      <rgbColor rgb="FF39D3E8"/>
      <rgbColor rgb="FF70AD47"/>
      <rgbColor rgb="FFFFD700"/>
      <rgbColor rgb="FFF0883E"/>
      <rgbColor rgb="FFED7D31"/>
      <rgbColor rgb="FF4F81BD"/>
      <rgbColor rgb="FF8B949E"/>
      <rgbColor rgb="FF1F3864"/>
      <rgbColor rgb="FF3FB950"/>
      <rgbColor rgb="FF161B22"/>
      <rgbColor rgb="FF0D1117"/>
      <rgbColor rgb="FF993300"/>
      <rgbColor rgb="FF993366"/>
      <rgbColor rgb="FF333399"/>
      <rgbColor rgb="FF1C21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402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171247142494284"/>
          <c:y val="4.1029659421519982E-2"/>
          <c:w val="0.80882804165608335"/>
          <c:h val="0.86179847946490507"/>
        </c:manualLayout>
      </c:layout>
      <c:barChart>
        <c:barDir val="bar"/>
        <c:grouping val="clustered"/>
        <c:varyColors val="0"/>
        <c:ser>
          <c:idx val="0"/>
          <c:order val="0"/>
          <c:tx>
            <c:v>Avg GPA</c:v>
          </c:tx>
          <c:spPr>
            <a:solidFill>
              <a:schemeClr val="tx2">
                <a:lumMod val="50000"/>
              </a:schemeClr>
            </a:solidFill>
            <a:ln w="9360">
              <a:solidFill>
                <a:srgbClr val="0D111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Dashboard'!$S$33:$S$37</c:f>
              <c:strCache>
                <c:ptCount val="5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F</c:v>
                </c:pt>
              </c:strCache>
            </c:strRef>
          </c:cat>
          <c:val>
            <c:numRef>
              <c:f>'📊 Dashboard'!$T$33:$T$37</c:f>
              <c:numCache>
                <c:formatCode>General</c:formatCode>
                <c:ptCount val="5"/>
                <c:pt idx="0">
                  <c:v>3.1030000000000002</c:v>
                </c:pt>
                <c:pt idx="1">
                  <c:v>3.0019999999999998</c:v>
                </c:pt>
                <c:pt idx="2">
                  <c:v>2.66</c:v>
                </c:pt>
                <c:pt idx="3">
                  <c:v>2.2160000000000002</c:v>
                </c:pt>
                <c:pt idx="4">
                  <c:v>1.208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8-4221-9F56-55AFA8543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7866"/>
        <c:axId val="32089979"/>
      </c:barChart>
      <c:catAx>
        <c:axId val="19678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89979"/>
        <c:crosses val="autoZero"/>
        <c:auto val="1"/>
        <c:lblAlgn val="ctr"/>
        <c:lblOffset val="100"/>
        <c:noMultiLvlLbl val="0"/>
      </c:catAx>
      <c:valAx>
        <c:axId val="32089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7866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Dashboard'!$V$32</c:f>
              <c:strCache>
                <c:ptCount val="1"/>
                <c:pt idx="0">
                  <c:v>Avg Study Hrs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9360">
              <a:solidFill>
                <a:srgbClr val="0D111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Dashboard'!$S$33:$S$37</c:f>
              <c:strCache>
                <c:ptCount val="5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F</c:v>
                </c:pt>
              </c:strCache>
            </c:strRef>
          </c:cat>
          <c:val>
            <c:numRef>
              <c:f>'📊 Dashboard'!$V$33:$V$37</c:f>
              <c:numCache>
                <c:formatCode>General</c:formatCode>
                <c:ptCount val="5"/>
                <c:pt idx="0">
                  <c:v>11.85</c:v>
                </c:pt>
                <c:pt idx="1">
                  <c:v>11.12</c:v>
                </c:pt>
                <c:pt idx="2">
                  <c:v>10.11</c:v>
                </c:pt>
                <c:pt idx="3">
                  <c:v>9.76</c:v>
                </c:pt>
                <c:pt idx="4">
                  <c:v>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5-45E6-BB0B-9D5023C04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01031"/>
        <c:axId val="35809377"/>
      </c:barChart>
      <c:catAx>
        <c:axId val="48501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09377"/>
        <c:crosses val="autoZero"/>
        <c:auto val="1"/>
        <c:lblAlgn val="ctr"/>
        <c:lblOffset val="100"/>
        <c:noMultiLvlLbl val="0"/>
      </c:catAx>
      <c:valAx>
        <c:axId val="358093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501031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Dashboard'!$W$32</c:f>
              <c:strCache>
                <c:ptCount val="1"/>
                <c:pt idx="0">
                  <c:v>Avg Absences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9360">
              <a:solidFill>
                <a:srgbClr val="0D111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Dashboard'!$S$33:$S$37</c:f>
              <c:strCache>
                <c:ptCount val="5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  <c:pt idx="4">
                  <c:v>Grade F</c:v>
                </c:pt>
              </c:strCache>
            </c:strRef>
          </c:cat>
          <c:val>
            <c:numRef>
              <c:f>'📊 Dashboard'!$W$33:$W$37</c:f>
              <c:numCache>
                <c:formatCode>General</c:formatCode>
                <c:ptCount val="5"/>
                <c:pt idx="0">
                  <c:v>5.7</c:v>
                </c:pt>
                <c:pt idx="1">
                  <c:v>5.3</c:v>
                </c:pt>
                <c:pt idx="2">
                  <c:v>7.3</c:v>
                </c:pt>
                <c:pt idx="3">
                  <c:v>11.4</c:v>
                </c:pt>
                <c:pt idx="4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0-4FAB-BC18-C996D13A3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28965"/>
        <c:axId val="15566209"/>
      </c:barChart>
      <c:catAx>
        <c:axId val="36528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66209"/>
        <c:crosses val="autoZero"/>
        <c:auto val="1"/>
        <c:lblAlgn val="ctr"/>
        <c:lblOffset val="100"/>
        <c:noMultiLvlLbl val="0"/>
      </c:catAx>
      <c:valAx>
        <c:axId val="155662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28965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 w="0">
          <a:noFill/>
        </a:ln>
      </c:spPr>
    </c:plotArea>
    <c:plotVisOnly val="1"/>
    <c:dispBlanksAs val="gap"/>
    <c:showDLblsOverMax val="1"/>
  </c:chart>
  <c:spPr>
    <a:solidFill>
      <a:schemeClr val="accent1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'📊 Dashboard'!$V$39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BC8CF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1BB-49C0-AE64-3FA23599B134}"/>
              </c:ext>
            </c:extLst>
          </c:dPt>
          <c:dPt>
            <c:idx val="1"/>
            <c:bubble3D val="0"/>
            <c:spPr>
              <a:solidFill>
                <a:srgbClr val="39D3E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1BB-49C0-AE64-3FA23599B13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BB-49C0-AE64-3FA23599B13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BB-49C0-AE64-3FA23599B1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Dashboard'!$U$40:$U$41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'📊 Dashboard'!$V$40:$V$41</c:f>
              <c:numCache>
                <c:formatCode>General</c:formatCode>
                <c:ptCount val="2"/>
                <c:pt idx="0">
                  <c:v>1222</c:v>
                </c:pt>
                <c:pt idx="1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BB-49C0-AE64-3FA23599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Dashboard'!$S$43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FFD700"/>
            </a:solidFill>
            <a:ln w="9360">
              <a:solidFill>
                <a:srgbClr val="0D111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Dashboard'!$R$44:$R$48</c:f>
              <c:strCache>
                <c:ptCount val="5"/>
                <c:pt idx="0">
                  <c:v>No Support</c:v>
                </c:pt>
                <c:pt idx="1">
                  <c:v>Low Support</c:v>
                </c:pt>
                <c:pt idx="2">
                  <c:v>Moderate</c:v>
                </c:pt>
                <c:pt idx="3">
                  <c:v>High Support</c:v>
                </c:pt>
                <c:pt idx="4">
                  <c:v>Very High</c:v>
                </c:pt>
              </c:strCache>
            </c:strRef>
          </c:cat>
          <c:val>
            <c:numRef>
              <c:f>'📊 Dashboard'!$S$44:$S$48</c:f>
              <c:numCache>
                <c:formatCode>General</c:formatCode>
                <c:ptCount val="5"/>
                <c:pt idx="0">
                  <c:v>1.54</c:v>
                </c:pt>
                <c:pt idx="1">
                  <c:v>1.756</c:v>
                </c:pt>
                <c:pt idx="2">
                  <c:v>1.8839999999999999</c:v>
                </c:pt>
                <c:pt idx="3">
                  <c:v>2.0419999999999998</c:v>
                </c:pt>
                <c:pt idx="4">
                  <c:v>2.1920000000000002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D-4644-BB69-B95F98D3B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14394"/>
        <c:axId val="50541587"/>
      </c:barChart>
      <c:catAx>
        <c:axId val="3651439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1587"/>
        <c:crosses val="autoZero"/>
        <c:auto val="1"/>
        <c:lblAlgn val="ctr"/>
        <c:lblOffset val="100"/>
        <c:noMultiLvlLbl val="0"/>
      </c:catAx>
      <c:valAx>
        <c:axId val="50541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143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Dashboard'!$S$51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39D3E8"/>
            </a:solidFill>
            <a:ln w="9360">
              <a:solidFill>
                <a:srgbClr val="0D111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Dashboard'!$R$52:$R$53</c:f>
              <c:strCache>
                <c:ptCount val="2"/>
                <c:pt idx="0">
                  <c:v>No Tutoring</c:v>
                </c:pt>
                <c:pt idx="1">
                  <c:v>With Tutoring</c:v>
                </c:pt>
              </c:strCache>
            </c:strRef>
          </c:cat>
          <c:val>
            <c:numRef>
              <c:f>'📊 Dashboard'!$S$52:$S$53</c:f>
              <c:numCache>
                <c:formatCode>General</c:formatCode>
                <c:ptCount val="2"/>
                <c:pt idx="0">
                  <c:v>1.819</c:v>
                </c:pt>
                <c:pt idx="1">
                  <c:v>2.1080000000000001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A-4C30-95C4-A59DC860D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67225"/>
        <c:axId val="83676345"/>
      </c:barChart>
      <c:catAx>
        <c:axId val="33067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76345"/>
        <c:crosses val="autoZero"/>
        <c:auto val="1"/>
        <c:lblAlgn val="ctr"/>
        <c:lblOffset val="100"/>
        <c:noMultiLvlLbl val="0"/>
      </c:catAx>
      <c:valAx>
        <c:axId val="836763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672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0</xdr:colOff>
      <xdr:row>12</xdr:row>
      <xdr:rowOff>695520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0</xdr:colOff>
      <xdr:row>12</xdr:row>
      <xdr:rowOff>695520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8</xdr:row>
      <xdr:rowOff>0</xdr:rowOff>
    </xdr:from>
    <xdr:to>
      <xdr:col>16</xdr:col>
      <xdr:colOff>8466</xdr:colOff>
      <xdr:row>12</xdr:row>
      <xdr:rowOff>695520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</xdr:colOff>
      <xdr:row>12</xdr:row>
      <xdr:rowOff>1168399</xdr:rowOff>
    </xdr:from>
    <xdr:to>
      <xdr:col>4</xdr:col>
      <xdr:colOff>948267</xdr:colOff>
      <xdr:row>16</xdr:row>
      <xdr:rowOff>35360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16934</xdr:colOff>
      <xdr:row>12</xdr:row>
      <xdr:rowOff>1159933</xdr:rowOff>
    </xdr:from>
    <xdr:to>
      <xdr:col>10</xdr:col>
      <xdr:colOff>8467</xdr:colOff>
      <xdr:row>16</xdr:row>
      <xdr:rowOff>26894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84667</xdr:colOff>
      <xdr:row>12</xdr:row>
      <xdr:rowOff>1151466</xdr:rowOff>
    </xdr:from>
    <xdr:to>
      <xdr:col>16</xdr:col>
      <xdr:colOff>33866</xdr:colOff>
      <xdr:row>16</xdr:row>
      <xdr:rowOff>18427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5FE45B-A139-48F4-9C38-DC07AFD81077}" name="Table2" displayName="Table2" ref="S32:X37" totalsRowShown="0">
  <autoFilter ref="S32:X37" xr:uid="{F05FE45B-A139-48F4-9C38-DC07AFD81077}"/>
  <tableColumns count="6">
    <tableColumn id="1" xr3:uid="{B6D10A99-FA73-4FDB-AD2B-24D08CB51B81}" name="Grade"/>
    <tableColumn id="2" xr3:uid="{F1F3368D-24E9-43E6-AF8C-92D9565F3E6A}" name="Avg GPA"/>
    <tableColumn id="3" xr3:uid="{54F5A9DF-14E7-4538-9DCE-A225E2723472}" name="Count"/>
    <tableColumn id="4" xr3:uid="{463F923F-355E-42FA-AF58-86B42A82E6B1}" name="Avg Study Hrs"/>
    <tableColumn id="5" xr3:uid="{69E1C158-9B15-43CA-B292-7A6095E9ED5C}" name="Avg Absences"/>
    <tableColumn id="6" xr3:uid="{B4E18C2C-EE02-4DBA-80CE-99D276258B3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9B5A47-1323-4B15-B695-86EF4B0C9F95}" name="Table4" displayName="Table4" ref="U39:V41" totalsRowShown="0">
  <autoFilter ref="U39:V41" xr:uid="{EA9B5A47-1323-4B15-B695-86EF4B0C9F95}"/>
  <tableColumns count="2">
    <tableColumn id="1" xr3:uid="{C12A562F-A8AA-49CC-A528-7EFE3E89E7D6}" name="Gender"/>
    <tableColumn id="2" xr3:uid="{22F83595-7936-4794-95B2-3C393A8B3C1E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36D745-3ADE-450F-B0BA-BAD538810D06}" name="Table5" displayName="Table5" ref="R43:S48" totalsRowShown="0">
  <autoFilter ref="R43:S48" xr:uid="{4C36D745-3ADE-450F-B0BA-BAD538810D06}"/>
  <tableColumns count="2">
    <tableColumn id="1" xr3:uid="{E16E7E9D-070C-4CA8-8358-C7532CA99701}" name="Support Level"/>
    <tableColumn id="2" xr3:uid="{A603888E-A928-480E-8B24-EAF89C542F21}" name="Avg GP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09B06C-B762-4115-9294-0BD1A3BF85E1}" name="Table6" displayName="Table6" ref="R51:S53" totalsRowShown="0">
  <autoFilter ref="R51:S53" xr:uid="{8A09B06C-B762-4115-9294-0BD1A3BF85E1}"/>
  <tableColumns count="2">
    <tableColumn id="1" xr3:uid="{ABBC796D-79BF-4890-9FDF-E7E913BAE1E1}" name="Tutoring"/>
    <tableColumn id="2" xr3:uid="{85408370-E505-452E-BC4B-F48924923AEC}" name="Avg GP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FB950"/>
  </sheetPr>
  <dimension ref="B1:L3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0" customWidth="1"/>
    <col min="3" max="3" width="22" customWidth="1"/>
    <col min="4" max="4" width="38" customWidth="1"/>
    <col min="5" max="5" width="30" customWidth="1"/>
    <col min="6" max="6" width="18" customWidth="1"/>
  </cols>
  <sheetData>
    <row r="1" spans="2:12" ht="39.75" customHeight="1" x14ac:dyDescent="0.3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2:12" ht="21.75" customHeight="1" x14ac:dyDescent="0.3">
      <c r="B2" s="72" t="s">
        <v>1</v>
      </c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2:12" ht="7.5" customHeight="1" x14ac:dyDescent="0.3"/>
    <row r="4" spans="2:12" ht="24.75" customHeight="1" x14ac:dyDescent="0.3">
      <c r="B4" s="73" t="s">
        <v>2</v>
      </c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2:12" x14ac:dyDescent="0.3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2:12" x14ac:dyDescent="0.3">
      <c r="B6" s="6" t="s">
        <v>8</v>
      </c>
      <c r="C6" s="6" t="s">
        <v>9</v>
      </c>
      <c r="D6" s="7" t="s">
        <v>10</v>
      </c>
      <c r="E6" s="6" t="s">
        <v>11</v>
      </c>
      <c r="F6" s="6" t="s">
        <v>12</v>
      </c>
    </row>
    <row r="7" spans="2:12" x14ac:dyDescent="0.3">
      <c r="B7" s="8" t="s">
        <v>13</v>
      </c>
      <c r="C7" s="8" t="s">
        <v>9</v>
      </c>
      <c r="D7" s="9" t="s">
        <v>14</v>
      </c>
      <c r="E7" s="8" t="s">
        <v>15</v>
      </c>
      <c r="F7" s="8" t="s">
        <v>3</v>
      </c>
    </row>
    <row r="8" spans="2:12" x14ac:dyDescent="0.3">
      <c r="B8" s="6" t="s">
        <v>16</v>
      </c>
      <c r="C8" s="6" t="s">
        <v>17</v>
      </c>
      <c r="D8" s="7" t="s">
        <v>18</v>
      </c>
      <c r="E8" s="6" t="s">
        <v>19</v>
      </c>
      <c r="F8" s="6" t="s">
        <v>3</v>
      </c>
    </row>
    <row r="9" spans="2:12" x14ac:dyDescent="0.3">
      <c r="B9" s="8" t="s">
        <v>20</v>
      </c>
      <c r="C9" s="8" t="s">
        <v>9</v>
      </c>
      <c r="D9" s="9" t="s">
        <v>21</v>
      </c>
      <c r="E9" s="8" t="s">
        <v>22</v>
      </c>
      <c r="F9" s="8" t="s">
        <v>3</v>
      </c>
    </row>
    <row r="10" spans="2:12" x14ac:dyDescent="0.3">
      <c r="B10" s="6" t="s">
        <v>23</v>
      </c>
      <c r="C10" s="6" t="s">
        <v>17</v>
      </c>
      <c r="D10" s="7" t="s">
        <v>24</v>
      </c>
      <c r="E10" s="6" t="s">
        <v>25</v>
      </c>
      <c r="F10" s="6" t="s">
        <v>3</v>
      </c>
    </row>
    <row r="11" spans="2:12" x14ac:dyDescent="0.3">
      <c r="B11" s="8" t="s">
        <v>26</v>
      </c>
      <c r="C11" s="8" t="s">
        <v>27</v>
      </c>
      <c r="D11" s="9" t="s">
        <v>28</v>
      </c>
      <c r="E11" s="8" t="s">
        <v>29</v>
      </c>
      <c r="F11" s="8" t="s">
        <v>3</v>
      </c>
    </row>
    <row r="12" spans="2:12" x14ac:dyDescent="0.3">
      <c r="B12" s="6" t="s">
        <v>30</v>
      </c>
      <c r="C12" s="6" t="s">
        <v>9</v>
      </c>
      <c r="D12" s="7" t="s">
        <v>31</v>
      </c>
      <c r="E12" s="6" t="s">
        <v>32</v>
      </c>
      <c r="F12" s="6" t="s">
        <v>3</v>
      </c>
    </row>
    <row r="13" spans="2:12" x14ac:dyDescent="0.3">
      <c r="B13" s="8" t="s">
        <v>33</v>
      </c>
      <c r="C13" s="8" t="s">
        <v>17</v>
      </c>
      <c r="D13" s="9" t="s">
        <v>34</v>
      </c>
      <c r="E13" s="8" t="s">
        <v>35</v>
      </c>
      <c r="F13" s="8" t="s">
        <v>3</v>
      </c>
    </row>
    <row r="14" spans="2:12" x14ac:dyDescent="0.3">
      <c r="B14" s="6" t="s">
        <v>36</v>
      </c>
      <c r="C14" s="6" t="s">
        <v>17</v>
      </c>
      <c r="D14" s="7" t="s">
        <v>37</v>
      </c>
      <c r="E14" s="6" t="s">
        <v>38</v>
      </c>
      <c r="F14" s="6" t="s">
        <v>3</v>
      </c>
    </row>
    <row r="15" spans="2:12" x14ac:dyDescent="0.3">
      <c r="B15" s="8" t="s">
        <v>39</v>
      </c>
      <c r="C15" s="8" t="s">
        <v>17</v>
      </c>
      <c r="D15" s="9" t="s">
        <v>40</v>
      </c>
      <c r="E15" s="8" t="s">
        <v>35</v>
      </c>
      <c r="F15" s="8" t="s">
        <v>3</v>
      </c>
    </row>
    <row r="16" spans="2:12" x14ac:dyDescent="0.3">
      <c r="B16" s="6" t="s">
        <v>41</v>
      </c>
      <c r="C16" s="6" t="s">
        <v>17</v>
      </c>
      <c r="D16" s="7" t="s">
        <v>42</v>
      </c>
      <c r="E16" s="6" t="s">
        <v>35</v>
      </c>
      <c r="F16" s="6" t="s">
        <v>3</v>
      </c>
    </row>
    <row r="17" spans="2:12" x14ac:dyDescent="0.3">
      <c r="B17" s="8" t="s">
        <v>43</v>
      </c>
      <c r="C17" s="8" t="s">
        <v>17</v>
      </c>
      <c r="D17" s="9" t="s">
        <v>44</v>
      </c>
      <c r="E17" s="8" t="s">
        <v>35</v>
      </c>
      <c r="F17" s="8" t="s">
        <v>3</v>
      </c>
    </row>
    <row r="18" spans="2:12" x14ac:dyDescent="0.3">
      <c r="B18" s="6" t="s">
        <v>45</v>
      </c>
      <c r="C18" s="6" t="s">
        <v>17</v>
      </c>
      <c r="D18" s="7" t="s">
        <v>46</v>
      </c>
      <c r="E18" s="6" t="s">
        <v>35</v>
      </c>
      <c r="F18" s="6" t="s">
        <v>3</v>
      </c>
    </row>
    <row r="19" spans="2:12" x14ac:dyDescent="0.3">
      <c r="B19" s="8" t="s">
        <v>47</v>
      </c>
      <c r="C19" s="8" t="s">
        <v>27</v>
      </c>
      <c r="D19" s="9" t="s">
        <v>48</v>
      </c>
      <c r="E19" s="8" t="s">
        <v>49</v>
      </c>
      <c r="F19" s="10" t="s">
        <v>50</v>
      </c>
    </row>
    <row r="20" spans="2:12" x14ac:dyDescent="0.3">
      <c r="B20" s="6" t="s">
        <v>51</v>
      </c>
      <c r="C20" s="6" t="s">
        <v>9</v>
      </c>
      <c r="D20" s="7" t="s">
        <v>52</v>
      </c>
      <c r="E20" s="6" t="s">
        <v>53</v>
      </c>
      <c r="F20" s="11" t="s">
        <v>50</v>
      </c>
    </row>
    <row r="21" spans="2:12" ht="7.5" customHeight="1" x14ac:dyDescent="0.3"/>
    <row r="22" spans="2:12" ht="24.75" customHeight="1" x14ac:dyDescent="0.3">
      <c r="B22" s="73" t="s">
        <v>54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2:12" x14ac:dyDescent="0.3">
      <c r="B23" s="5" t="s">
        <v>55</v>
      </c>
      <c r="C23" s="5" t="s">
        <v>56</v>
      </c>
    </row>
    <row r="24" spans="2:12" x14ac:dyDescent="0.3">
      <c r="B24" s="6" t="s">
        <v>57</v>
      </c>
      <c r="C24" s="6">
        <v>2392</v>
      </c>
    </row>
    <row r="25" spans="2:12" x14ac:dyDescent="0.3">
      <c r="B25" s="8" t="s">
        <v>58</v>
      </c>
      <c r="C25" s="8">
        <v>15</v>
      </c>
    </row>
    <row r="26" spans="2:12" x14ac:dyDescent="0.3">
      <c r="B26" s="6" t="s">
        <v>59</v>
      </c>
      <c r="C26" s="6">
        <v>5</v>
      </c>
    </row>
    <row r="27" spans="2:12" x14ac:dyDescent="0.3">
      <c r="B27" s="8" t="s">
        <v>60</v>
      </c>
      <c r="C27" s="8">
        <v>10</v>
      </c>
    </row>
    <row r="28" spans="2:12" x14ac:dyDescent="0.3">
      <c r="B28" s="6" t="s">
        <v>61</v>
      </c>
      <c r="C28" s="6" t="s">
        <v>62</v>
      </c>
    </row>
    <row r="29" spans="2:12" x14ac:dyDescent="0.3">
      <c r="B29" s="8" t="s">
        <v>63</v>
      </c>
      <c r="C29" s="8" t="s">
        <v>64</v>
      </c>
    </row>
    <row r="30" spans="2:12" x14ac:dyDescent="0.3">
      <c r="B30" s="6" t="s">
        <v>65</v>
      </c>
      <c r="C30" s="6" t="s">
        <v>66</v>
      </c>
    </row>
    <row r="31" spans="2:12" x14ac:dyDescent="0.3">
      <c r="B31" s="8" t="s">
        <v>67</v>
      </c>
      <c r="C31" s="8" t="s">
        <v>49</v>
      </c>
    </row>
  </sheetData>
  <mergeCells count="4">
    <mergeCell ref="B1:L1"/>
    <mergeCell ref="B2:L2"/>
    <mergeCell ref="B4:L4"/>
    <mergeCell ref="B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0883E"/>
  </sheetPr>
  <dimension ref="B1:O4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10" width="18" customWidth="1"/>
  </cols>
  <sheetData>
    <row r="1" spans="2:12" ht="34.5" customHeight="1" x14ac:dyDescent="0.3">
      <c r="B1" s="76" t="s">
        <v>68</v>
      </c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2:12" ht="7.5" customHeight="1" x14ac:dyDescent="0.3"/>
    <row r="3" spans="2:12" ht="24.75" customHeight="1" x14ac:dyDescent="0.3">
      <c r="B3" s="73" t="s">
        <v>69</v>
      </c>
      <c r="C3" s="73"/>
      <c r="D3" s="73"/>
      <c r="E3" s="73"/>
      <c r="F3" s="73"/>
      <c r="G3" s="73"/>
    </row>
    <row r="4" spans="2:12" x14ac:dyDescent="0.3"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</row>
    <row r="5" spans="2:12" x14ac:dyDescent="0.3">
      <c r="B5" s="6" t="s">
        <v>23</v>
      </c>
      <c r="C5" s="6">
        <v>243</v>
      </c>
      <c r="D5" s="12">
        <v>10.199999999999999</v>
      </c>
      <c r="E5" s="6" t="s">
        <v>75</v>
      </c>
      <c r="F5" s="11" t="s">
        <v>76</v>
      </c>
    </row>
    <row r="6" spans="2:12" x14ac:dyDescent="0.3">
      <c r="B6" s="8" t="s">
        <v>77</v>
      </c>
      <c r="C6" s="8">
        <v>0</v>
      </c>
      <c r="D6" s="13">
        <v>0</v>
      </c>
      <c r="E6" s="8" t="s">
        <v>78</v>
      </c>
      <c r="F6" s="10" t="s">
        <v>79</v>
      </c>
    </row>
    <row r="7" spans="2:12" ht="7.5" customHeight="1" x14ac:dyDescent="0.3"/>
    <row r="8" spans="2:12" ht="24.75" customHeight="1" x14ac:dyDescent="0.3">
      <c r="B8" s="73" t="s">
        <v>80</v>
      </c>
      <c r="C8" s="73"/>
      <c r="D8" s="73"/>
      <c r="E8" s="73"/>
      <c r="F8" s="73"/>
      <c r="G8" s="73"/>
    </row>
    <row r="9" spans="2:12" ht="15" customHeight="1" x14ac:dyDescent="0.3">
      <c r="B9" s="5" t="s">
        <v>81</v>
      </c>
      <c r="C9" s="5" t="s">
        <v>82</v>
      </c>
      <c r="D9" s="77" t="s">
        <v>83</v>
      </c>
      <c r="E9" s="77"/>
      <c r="F9" s="77"/>
      <c r="G9" s="5" t="s">
        <v>74</v>
      </c>
    </row>
    <row r="10" spans="2:12" x14ac:dyDescent="0.3">
      <c r="B10" s="6" t="s">
        <v>84</v>
      </c>
      <c r="C10" s="14" t="s">
        <v>85</v>
      </c>
      <c r="D10" s="74" t="s">
        <v>86</v>
      </c>
      <c r="E10" s="74"/>
      <c r="F10" s="74"/>
      <c r="G10" s="11" t="s">
        <v>87</v>
      </c>
    </row>
    <row r="11" spans="2:12" x14ac:dyDescent="0.3">
      <c r="B11" s="8" t="s">
        <v>88</v>
      </c>
      <c r="C11" s="15" t="s">
        <v>89</v>
      </c>
      <c r="D11" s="75" t="s">
        <v>90</v>
      </c>
      <c r="E11" s="75"/>
      <c r="F11" s="75"/>
      <c r="G11" s="10" t="s">
        <v>87</v>
      </c>
    </row>
    <row r="12" spans="2:12" x14ac:dyDescent="0.3">
      <c r="B12" s="6" t="s">
        <v>91</v>
      </c>
      <c r="C12" s="14" t="s">
        <v>92</v>
      </c>
      <c r="D12" s="74" t="s">
        <v>93</v>
      </c>
      <c r="E12" s="74"/>
      <c r="F12" s="74"/>
      <c r="G12" s="11" t="s">
        <v>87</v>
      </c>
    </row>
    <row r="13" spans="2:12" x14ac:dyDescent="0.3">
      <c r="B13" s="8" t="s">
        <v>94</v>
      </c>
      <c r="C13" s="15" t="s">
        <v>95</v>
      </c>
      <c r="D13" s="75" t="s">
        <v>96</v>
      </c>
      <c r="E13" s="75"/>
      <c r="F13" s="75"/>
      <c r="G13" s="10" t="s">
        <v>87</v>
      </c>
    </row>
    <row r="14" spans="2:12" x14ac:dyDescent="0.3">
      <c r="B14" s="6" t="s">
        <v>97</v>
      </c>
      <c r="C14" s="14" t="s">
        <v>98</v>
      </c>
      <c r="D14" s="74" t="s">
        <v>99</v>
      </c>
      <c r="E14" s="74"/>
      <c r="F14" s="74"/>
      <c r="G14" s="11" t="s">
        <v>87</v>
      </c>
    </row>
    <row r="15" spans="2:12" x14ac:dyDescent="0.3">
      <c r="B15" s="8" t="s">
        <v>100</v>
      </c>
      <c r="C15" s="15" t="s">
        <v>101</v>
      </c>
      <c r="D15" s="75" t="s">
        <v>102</v>
      </c>
      <c r="E15" s="75"/>
      <c r="F15" s="75"/>
      <c r="G15" s="10" t="s">
        <v>87</v>
      </c>
    </row>
    <row r="16" spans="2:12" x14ac:dyDescent="0.3">
      <c r="B16" s="6" t="s">
        <v>103</v>
      </c>
      <c r="C16" s="14" t="s">
        <v>104</v>
      </c>
      <c r="D16" s="74" t="s">
        <v>105</v>
      </c>
      <c r="E16" s="74"/>
      <c r="F16" s="74"/>
      <c r="G16" s="11" t="s">
        <v>87</v>
      </c>
    </row>
    <row r="18" spans="2:15" ht="7.5" customHeight="1" x14ac:dyDescent="0.3"/>
    <row r="19" spans="2:15" ht="24.75" customHeight="1" x14ac:dyDescent="0.3">
      <c r="B19" s="73" t="s">
        <v>106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</row>
    <row r="20" spans="2:15" x14ac:dyDescent="0.3">
      <c r="B20" s="16" t="s">
        <v>8</v>
      </c>
      <c r="C20" s="16" t="s">
        <v>13</v>
      </c>
      <c r="D20" s="16" t="s">
        <v>16</v>
      </c>
      <c r="E20" s="16" t="s">
        <v>23</v>
      </c>
      <c r="F20" s="16" t="s">
        <v>26</v>
      </c>
      <c r="G20" s="16" t="s">
        <v>30</v>
      </c>
      <c r="H20" s="16" t="s">
        <v>33</v>
      </c>
      <c r="I20" s="16" t="s">
        <v>47</v>
      </c>
      <c r="J20" s="16" t="s">
        <v>51</v>
      </c>
    </row>
    <row r="21" spans="2:15" x14ac:dyDescent="0.3">
      <c r="B21" s="6">
        <v>1001</v>
      </c>
      <c r="C21" s="6">
        <v>17</v>
      </c>
      <c r="D21" s="6" t="s">
        <v>107</v>
      </c>
      <c r="E21" s="6" t="s">
        <v>108</v>
      </c>
      <c r="F21" s="17">
        <v>19.833722810000001</v>
      </c>
      <c r="G21" s="6">
        <v>7</v>
      </c>
      <c r="H21" s="6" t="s">
        <v>109</v>
      </c>
      <c r="I21" s="17">
        <v>2.9291955920000001</v>
      </c>
      <c r="J21" s="6">
        <v>2</v>
      </c>
    </row>
    <row r="22" spans="2:15" x14ac:dyDescent="0.3">
      <c r="B22" s="8">
        <v>1002</v>
      </c>
      <c r="C22" s="8">
        <v>18</v>
      </c>
      <c r="D22" s="8" t="s">
        <v>110</v>
      </c>
      <c r="E22" s="8" t="s">
        <v>111</v>
      </c>
      <c r="F22" s="18">
        <v>15.40875606</v>
      </c>
      <c r="G22" s="8">
        <v>0</v>
      </c>
      <c r="H22" s="8" t="s">
        <v>112</v>
      </c>
      <c r="I22" s="18">
        <v>3.0429148330000002</v>
      </c>
      <c r="J22" s="8">
        <v>1</v>
      </c>
    </row>
    <row r="23" spans="2:15" x14ac:dyDescent="0.3">
      <c r="B23" s="6">
        <v>1003</v>
      </c>
      <c r="C23" s="6">
        <v>15</v>
      </c>
      <c r="D23" s="6" t="s">
        <v>110</v>
      </c>
      <c r="E23" s="6" t="s">
        <v>113</v>
      </c>
      <c r="F23" s="17">
        <v>4.2105697690000001</v>
      </c>
      <c r="G23" s="6">
        <v>26</v>
      </c>
      <c r="H23" s="6" t="s">
        <v>112</v>
      </c>
      <c r="I23" s="17">
        <v>0.112602254</v>
      </c>
      <c r="J23" s="6">
        <v>4</v>
      </c>
    </row>
    <row r="24" spans="2:15" x14ac:dyDescent="0.3">
      <c r="B24" s="8">
        <v>1004</v>
      </c>
      <c r="C24" s="8">
        <v>17</v>
      </c>
      <c r="D24" s="8" t="s">
        <v>107</v>
      </c>
      <c r="E24" s="8" t="s">
        <v>113</v>
      </c>
      <c r="F24" s="18">
        <v>10.02882947</v>
      </c>
      <c r="G24" s="8">
        <v>14</v>
      </c>
      <c r="H24" s="8" t="s">
        <v>112</v>
      </c>
      <c r="I24" s="18">
        <v>2.0542181400000001</v>
      </c>
      <c r="J24" s="8">
        <v>3</v>
      </c>
    </row>
    <row r="25" spans="2:15" x14ac:dyDescent="0.3">
      <c r="B25" s="6">
        <v>1005</v>
      </c>
      <c r="C25" s="6">
        <v>17</v>
      </c>
      <c r="D25" s="6" t="s">
        <v>107</v>
      </c>
      <c r="E25" s="6" t="s">
        <v>108</v>
      </c>
      <c r="F25" s="17">
        <v>4.672495273</v>
      </c>
      <c r="G25" s="6">
        <v>17</v>
      </c>
      <c r="H25" s="6" t="s">
        <v>109</v>
      </c>
      <c r="I25" s="17">
        <v>1.2880611820000001</v>
      </c>
      <c r="J25" s="6">
        <v>4</v>
      </c>
    </row>
    <row r="26" spans="2:15" x14ac:dyDescent="0.3">
      <c r="B26" s="8">
        <v>1006</v>
      </c>
      <c r="C26" s="8">
        <v>18</v>
      </c>
      <c r="D26" s="8" t="s">
        <v>110</v>
      </c>
      <c r="E26" s="8" t="s">
        <v>111</v>
      </c>
      <c r="F26" s="18">
        <v>8.1912185449999999</v>
      </c>
      <c r="G26" s="8">
        <v>0</v>
      </c>
      <c r="H26" s="8" t="s">
        <v>112</v>
      </c>
      <c r="I26" s="18">
        <v>3.0841836140000001</v>
      </c>
      <c r="J26" s="8">
        <v>1</v>
      </c>
    </row>
    <row r="27" spans="2:15" x14ac:dyDescent="0.3">
      <c r="B27" s="6">
        <v>1007</v>
      </c>
      <c r="C27" s="6">
        <v>15</v>
      </c>
      <c r="D27" s="6" t="s">
        <v>110</v>
      </c>
      <c r="E27" s="6" t="s">
        <v>111</v>
      </c>
      <c r="F27" s="17">
        <v>15.60168047</v>
      </c>
      <c r="G27" s="6">
        <v>10</v>
      </c>
      <c r="H27" s="6" t="s">
        <v>112</v>
      </c>
      <c r="I27" s="17">
        <v>2.7482374150000002</v>
      </c>
      <c r="J27" s="6">
        <v>2</v>
      </c>
    </row>
    <row r="28" spans="2:15" x14ac:dyDescent="0.3">
      <c r="B28" s="8">
        <v>1008</v>
      </c>
      <c r="C28" s="8">
        <v>15</v>
      </c>
      <c r="D28" s="8" t="s">
        <v>107</v>
      </c>
      <c r="E28" s="8" t="s">
        <v>114</v>
      </c>
      <c r="F28" s="18">
        <v>15.42449631</v>
      </c>
      <c r="G28" s="8">
        <v>22</v>
      </c>
      <c r="H28" s="8" t="s">
        <v>109</v>
      </c>
      <c r="I28" s="18">
        <v>1.360142712</v>
      </c>
      <c r="J28" s="8">
        <v>4</v>
      </c>
    </row>
    <row r="29" spans="2:15" x14ac:dyDescent="0.3">
      <c r="B29" s="6">
        <v>1009</v>
      </c>
      <c r="C29" s="6">
        <v>17</v>
      </c>
      <c r="D29" s="6" t="s">
        <v>110</v>
      </c>
      <c r="E29" s="6"/>
      <c r="F29" s="17">
        <v>4.5620075580000004</v>
      </c>
      <c r="G29" s="6">
        <v>1</v>
      </c>
      <c r="H29" s="6" t="s">
        <v>112</v>
      </c>
      <c r="I29" s="17">
        <v>2.89681919</v>
      </c>
      <c r="J29" s="6">
        <v>2</v>
      </c>
    </row>
    <row r="30" spans="2:15" x14ac:dyDescent="0.3">
      <c r="B30" s="8">
        <v>1010</v>
      </c>
      <c r="C30" s="8">
        <v>16</v>
      </c>
      <c r="D30" s="8" t="s">
        <v>107</v>
      </c>
      <c r="E30" s="8" t="s">
        <v>111</v>
      </c>
      <c r="F30" s="18">
        <v>18.44446636</v>
      </c>
      <c r="G30" s="8">
        <v>0</v>
      </c>
      <c r="H30" s="8" t="s">
        <v>112</v>
      </c>
      <c r="I30" s="18">
        <v>3.5734742100000001</v>
      </c>
      <c r="J30" s="8">
        <v>0</v>
      </c>
    </row>
    <row r="31" spans="2:15" x14ac:dyDescent="0.3">
      <c r="B31" s="6">
        <v>1011</v>
      </c>
      <c r="C31" s="6">
        <v>17</v>
      </c>
      <c r="D31" s="6" t="s">
        <v>110</v>
      </c>
      <c r="E31" s="6" t="s">
        <v>111</v>
      </c>
      <c r="F31" s="17">
        <v>11.851363660000001</v>
      </c>
      <c r="G31" s="6">
        <v>11</v>
      </c>
      <c r="H31" s="6" t="s">
        <v>112</v>
      </c>
      <c r="I31" s="17">
        <v>2.1471716249999999</v>
      </c>
      <c r="J31" s="6">
        <v>3</v>
      </c>
    </row>
    <row r="32" spans="2:15" x14ac:dyDescent="0.3">
      <c r="B32" s="8">
        <v>1012</v>
      </c>
      <c r="C32" s="8">
        <v>17</v>
      </c>
      <c r="D32" s="8" t="s">
        <v>110</v>
      </c>
      <c r="E32" s="8" t="s">
        <v>111</v>
      </c>
      <c r="F32" s="18">
        <v>7.5984858190000004</v>
      </c>
      <c r="G32" s="8">
        <v>15</v>
      </c>
      <c r="H32" s="8" t="s">
        <v>112</v>
      </c>
      <c r="I32" s="18">
        <v>1.559594519</v>
      </c>
      <c r="J32" s="8">
        <v>4</v>
      </c>
    </row>
    <row r="33" spans="2:10" x14ac:dyDescent="0.3">
      <c r="B33" s="6">
        <v>1013</v>
      </c>
      <c r="C33" s="6">
        <v>17</v>
      </c>
      <c r="D33" s="6" t="s">
        <v>110</v>
      </c>
      <c r="E33" s="6" t="s">
        <v>111</v>
      </c>
      <c r="F33" s="17">
        <v>10.038711620000001</v>
      </c>
      <c r="G33" s="6">
        <v>21</v>
      </c>
      <c r="H33" s="6" t="s">
        <v>112</v>
      </c>
      <c r="I33" s="17">
        <v>1.5200778150000001</v>
      </c>
      <c r="J33" s="6">
        <v>4</v>
      </c>
    </row>
    <row r="34" spans="2:10" x14ac:dyDescent="0.3">
      <c r="B34" s="8">
        <v>1014</v>
      </c>
      <c r="C34" s="8">
        <v>17</v>
      </c>
      <c r="D34" s="8" t="s">
        <v>110</v>
      </c>
      <c r="E34" s="8" t="s">
        <v>108</v>
      </c>
      <c r="F34" s="18">
        <v>12.101425069999999</v>
      </c>
      <c r="G34" s="8">
        <v>21</v>
      </c>
      <c r="H34" s="8" t="s">
        <v>112</v>
      </c>
      <c r="I34" s="18">
        <v>1.7515809579999999</v>
      </c>
      <c r="J34" s="8">
        <v>4</v>
      </c>
    </row>
    <row r="35" spans="2:10" x14ac:dyDescent="0.3">
      <c r="B35" s="6">
        <v>1015</v>
      </c>
      <c r="C35" s="6">
        <v>18</v>
      </c>
      <c r="D35" s="6" t="s">
        <v>107</v>
      </c>
      <c r="E35" s="6" t="s">
        <v>111</v>
      </c>
      <c r="F35" s="17">
        <v>11.19781064</v>
      </c>
      <c r="G35" s="6">
        <v>9</v>
      </c>
      <c r="H35" s="6" t="s">
        <v>109</v>
      </c>
      <c r="I35" s="17">
        <v>2.3967881169999998</v>
      </c>
      <c r="J35" s="6">
        <v>3</v>
      </c>
    </row>
    <row r="36" spans="2:10" x14ac:dyDescent="0.3">
      <c r="B36" s="8">
        <v>1016</v>
      </c>
      <c r="C36" s="8">
        <v>15</v>
      </c>
      <c r="D36" s="8" t="s">
        <v>110</v>
      </c>
      <c r="E36" s="8" t="s">
        <v>108</v>
      </c>
      <c r="F36" s="18">
        <v>9.7281007109999997</v>
      </c>
      <c r="G36" s="8">
        <v>17</v>
      </c>
      <c r="H36" s="8" t="s">
        <v>109</v>
      </c>
      <c r="I36" s="18">
        <v>1.3415207170000001</v>
      </c>
      <c r="J36" s="8">
        <v>4</v>
      </c>
    </row>
    <row r="37" spans="2:10" x14ac:dyDescent="0.3">
      <c r="B37" s="6">
        <v>1017</v>
      </c>
      <c r="C37" s="6">
        <v>18</v>
      </c>
      <c r="D37" s="6" t="s">
        <v>110</v>
      </c>
      <c r="E37" s="6" t="s">
        <v>111</v>
      </c>
      <c r="F37" s="17">
        <v>10.09865608</v>
      </c>
      <c r="G37" s="6">
        <v>14</v>
      </c>
      <c r="H37" s="6" t="s">
        <v>112</v>
      </c>
      <c r="I37" s="17">
        <v>2.2321752780000002</v>
      </c>
      <c r="J37" s="6">
        <v>3</v>
      </c>
    </row>
    <row r="38" spans="2:10" x14ac:dyDescent="0.3">
      <c r="B38" s="8">
        <v>1018</v>
      </c>
      <c r="C38" s="8">
        <v>18</v>
      </c>
      <c r="D38" s="8" t="s">
        <v>107</v>
      </c>
      <c r="E38" s="8"/>
      <c r="F38" s="18">
        <v>3.528238209</v>
      </c>
      <c r="G38" s="8">
        <v>16</v>
      </c>
      <c r="H38" s="8" t="s">
        <v>109</v>
      </c>
      <c r="I38" s="18">
        <v>1.3844041760000001</v>
      </c>
      <c r="J38" s="8">
        <v>4</v>
      </c>
    </row>
    <row r="39" spans="2:10" x14ac:dyDescent="0.3">
      <c r="B39" s="6">
        <v>1019</v>
      </c>
      <c r="C39" s="6">
        <v>18</v>
      </c>
      <c r="D39" s="6" t="s">
        <v>110</v>
      </c>
      <c r="E39" s="6" t="s">
        <v>113</v>
      </c>
      <c r="F39" s="17">
        <v>16.25465809</v>
      </c>
      <c r="G39" s="6">
        <v>29</v>
      </c>
      <c r="H39" s="6" t="s">
        <v>112</v>
      </c>
      <c r="I39" s="17">
        <v>0.46955332300000002</v>
      </c>
      <c r="J39" s="6">
        <v>4</v>
      </c>
    </row>
    <row r="40" spans="2:10" x14ac:dyDescent="0.3">
      <c r="B40" s="8">
        <v>1020</v>
      </c>
      <c r="C40" s="8">
        <v>17</v>
      </c>
      <c r="D40" s="8" t="s">
        <v>110</v>
      </c>
      <c r="E40" s="8" t="s">
        <v>111</v>
      </c>
      <c r="F40" s="18">
        <v>10.835206400000001</v>
      </c>
      <c r="G40" s="8">
        <v>9</v>
      </c>
      <c r="H40" s="8" t="s">
        <v>112</v>
      </c>
      <c r="I40" s="18">
        <v>2.3957840949999998</v>
      </c>
      <c r="J40" s="8">
        <v>3</v>
      </c>
    </row>
  </sheetData>
  <mergeCells count="12">
    <mergeCell ref="B1:L1"/>
    <mergeCell ref="B3:G3"/>
    <mergeCell ref="B8:G8"/>
    <mergeCell ref="D9:F9"/>
    <mergeCell ref="D10:F10"/>
    <mergeCell ref="D16:F16"/>
    <mergeCell ref="B19:O19"/>
    <mergeCell ref="D11:F11"/>
    <mergeCell ref="D12:F12"/>
    <mergeCell ref="D13:F13"/>
    <mergeCell ref="D14:F14"/>
    <mergeCell ref="D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C8CFF"/>
  </sheetPr>
  <dimension ref="B1:P38"/>
  <sheetViews>
    <sheetView showGridLines="0" topLeftCell="A41" zoomScaleNormal="100" workbookViewId="0"/>
  </sheetViews>
  <sheetFormatPr defaultColWidth="8.6640625" defaultRowHeight="14.4" x14ac:dyDescent="0.3"/>
  <cols>
    <col min="1" max="1" width="3" customWidth="1"/>
    <col min="2" max="6" width="16" customWidth="1"/>
    <col min="7" max="7" width="20" customWidth="1"/>
    <col min="8" max="10" width="12" customWidth="1"/>
  </cols>
  <sheetData>
    <row r="1" spans="2:16" ht="34.5" customHeight="1" x14ac:dyDescent="0.3">
      <c r="B1" s="76" t="s">
        <v>115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2:16" ht="7.5" customHeight="1" x14ac:dyDescent="0.3"/>
    <row r="3" spans="2:16" ht="24.75" customHeight="1" x14ac:dyDescent="0.3">
      <c r="B3" s="73" t="s">
        <v>116</v>
      </c>
      <c r="C3" s="73"/>
      <c r="D3" s="73"/>
      <c r="E3" s="73"/>
      <c r="F3" s="73"/>
      <c r="G3" s="73"/>
      <c r="H3" s="73"/>
      <c r="I3" s="73"/>
    </row>
    <row r="4" spans="2:16" ht="26.4" x14ac:dyDescent="0.3">
      <c r="B4" s="5" t="s">
        <v>117</v>
      </c>
      <c r="C4" s="5" t="s">
        <v>13</v>
      </c>
      <c r="D4" s="5" t="s">
        <v>26</v>
      </c>
      <c r="E4" s="5" t="s">
        <v>30</v>
      </c>
      <c r="F4" s="5" t="s">
        <v>47</v>
      </c>
    </row>
    <row r="5" spans="2:16" x14ac:dyDescent="0.3">
      <c r="B5" s="14" t="s">
        <v>118</v>
      </c>
      <c r="C5" s="6">
        <v>2392</v>
      </c>
      <c r="D5" s="6">
        <v>2392</v>
      </c>
      <c r="E5" s="6">
        <v>2392</v>
      </c>
      <c r="F5" s="6">
        <v>2392</v>
      </c>
    </row>
    <row r="6" spans="2:16" x14ac:dyDescent="0.3">
      <c r="B6" s="15" t="s">
        <v>119</v>
      </c>
      <c r="C6" s="8">
        <v>16.469000000000001</v>
      </c>
      <c r="D6" s="8">
        <v>9.7720000000000002</v>
      </c>
      <c r="E6" s="8">
        <v>14.541</v>
      </c>
      <c r="F6" s="8">
        <v>1.9059999999999999</v>
      </c>
    </row>
    <row r="7" spans="2:16" x14ac:dyDescent="0.3">
      <c r="B7" s="14" t="s">
        <v>120</v>
      </c>
      <c r="C7" s="6">
        <v>1.1240000000000001</v>
      </c>
      <c r="D7" s="6">
        <v>5.6529999999999996</v>
      </c>
      <c r="E7" s="6">
        <v>8.4670000000000005</v>
      </c>
      <c r="F7" s="6">
        <v>0.91500000000000004</v>
      </c>
    </row>
    <row r="8" spans="2:16" x14ac:dyDescent="0.3">
      <c r="B8" s="15" t="s">
        <v>121</v>
      </c>
      <c r="C8" s="8">
        <v>15</v>
      </c>
      <c r="D8" s="8">
        <v>1E-3</v>
      </c>
      <c r="E8" s="8">
        <v>0</v>
      </c>
      <c r="F8" s="8">
        <v>0</v>
      </c>
    </row>
    <row r="9" spans="2:16" x14ac:dyDescent="0.3">
      <c r="B9" s="14" t="s">
        <v>122</v>
      </c>
      <c r="C9" s="6">
        <v>15</v>
      </c>
      <c r="D9" s="6">
        <v>5.0430000000000001</v>
      </c>
      <c r="E9" s="6">
        <v>7</v>
      </c>
      <c r="F9" s="6">
        <v>1.175</v>
      </c>
    </row>
    <row r="10" spans="2:16" x14ac:dyDescent="0.3">
      <c r="B10" s="15" t="s">
        <v>123</v>
      </c>
      <c r="C10" s="8">
        <v>16</v>
      </c>
      <c r="D10" s="8">
        <v>9.7050000000000001</v>
      </c>
      <c r="E10" s="8">
        <v>15</v>
      </c>
      <c r="F10" s="8">
        <v>1.893</v>
      </c>
    </row>
    <row r="11" spans="2:16" x14ac:dyDescent="0.3">
      <c r="B11" s="14" t="s">
        <v>124</v>
      </c>
      <c r="C11" s="6">
        <v>17</v>
      </c>
      <c r="D11" s="6">
        <v>14.407999999999999</v>
      </c>
      <c r="E11" s="6">
        <v>22</v>
      </c>
      <c r="F11" s="6">
        <v>2.6219999999999999</v>
      </c>
    </row>
    <row r="12" spans="2:16" x14ac:dyDescent="0.3">
      <c r="B12" s="15" t="s">
        <v>125</v>
      </c>
      <c r="C12" s="8">
        <v>18</v>
      </c>
      <c r="D12" s="8">
        <v>19.978000000000002</v>
      </c>
      <c r="E12" s="8">
        <v>29</v>
      </c>
      <c r="F12" s="8">
        <v>4</v>
      </c>
    </row>
    <row r="14" spans="2:16" ht="7.5" customHeight="1" x14ac:dyDescent="0.3"/>
    <row r="15" spans="2:16" ht="24.75" customHeight="1" x14ac:dyDescent="0.3">
      <c r="B15" s="73" t="s">
        <v>126</v>
      </c>
      <c r="C15" s="73"/>
      <c r="D15" s="73"/>
      <c r="G15" s="73" t="s">
        <v>127</v>
      </c>
      <c r="H15" s="73"/>
      <c r="I15" s="73"/>
      <c r="J15" s="73"/>
    </row>
    <row r="16" spans="2:16" x14ac:dyDescent="0.3">
      <c r="B16" s="5" t="s">
        <v>16</v>
      </c>
      <c r="C16" s="5" t="s">
        <v>118</v>
      </c>
      <c r="D16" s="5" t="s">
        <v>128</v>
      </c>
      <c r="G16" s="5" t="s">
        <v>129</v>
      </c>
      <c r="H16" s="5" t="s">
        <v>130</v>
      </c>
      <c r="I16" s="5" t="s">
        <v>118</v>
      </c>
      <c r="J16" s="5" t="s">
        <v>131</v>
      </c>
    </row>
    <row r="17" spans="2:10" x14ac:dyDescent="0.3">
      <c r="B17" s="6" t="s">
        <v>107</v>
      </c>
      <c r="C17" s="6">
        <v>1222</v>
      </c>
      <c r="D17" s="6" t="s">
        <v>132</v>
      </c>
      <c r="G17" s="6">
        <v>0</v>
      </c>
      <c r="H17" s="6" t="s">
        <v>133</v>
      </c>
      <c r="I17" s="6">
        <v>107</v>
      </c>
      <c r="J17" s="19">
        <v>3.1030000000000002</v>
      </c>
    </row>
    <row r="18" spans="2:10" x14ac:dyDescent="0.3">
      <c r="B18" s="8" t="s">
        <v>110</v>
      </c>
      <c r="C18" s="8">
        <v>1170</v>
      </c>
      <c r="D18" s="8" t="s">
        <v>134</v>
      </c>
      <c r="G18" s="8">
        <v>1</v>
      </c>
      <c r="H18" s="8" t="s">
        <v>135</v>
      </c>
      <c r="I18" s="8">
        <v>269</v>
      </c>
      <c r="J18" s="20">
        <v>3.0019999999999998</v>
      </c>
    </row>
    <row r="19" spans="2:10" x14ac:dyDescent="0.3">
      <c r="G19" s="6">
        <v>2</v>
      </c>
      <c r="H19" s="6" t="s">
        <v>136</v>
      </c>
      <c r="I19" s="6">
        <v>391</v>
      </c>
      <c r="J19" s="19">
        <v>2.66</v>
      </c>
    </row>
    <row r="20" spans="2:10" x14ac:dyDescent="0.3">
      <c r="G20" s="8">
        <v>3</v>
      </c>
      <c r="H20" s="8" t="s">
        <v>137</v>
      </c>
      <c r="I20" s="8">
        <v>414</v>
      </c>
      <c r="J20" s="20">
        <v>2.2160000000000002</v>
      </c>
    </row>
    <row r="21" spans="2:10" x14ac:dyDescent="0.3">
      <c r="G21" s="6">
        <v>4</v>
      </c>
      <c r="H21" s="6" t="s">
        <v>138</v>
      </c>
      <c r="I21" s="6">
        <v>1211</v>
      </c>
      <c r="J21" s="19">
        <v>1.208</v>
      </c>
    </row>
    <row r="23" spans="2:10" ht="7.5" customHeight="1" x14ac:dyDescent="0.3"/>
    <row r="24" spans="2:10" ht="24.75" customHeight="1" x14ac:dyDescent="0.3">
      <c r="B24" s="73" t="s">
        <v>139</v>
      </c>
      <c r="C24" s="73"/>
      <c r="D24" s="73"/>
      <c r="E24" s="73"/>
      <c r="F24" s="73"/>
      <c r="G24" s="73"/>
      <c r="H24" s="73"/>
    </row>
    <row r="25" spans="2:10" ht="26.4" x14ac:dyDescent="0.3">
      <c r="B25" s="5"/>
      <c r="C25" s="5" t="s">
        <v>13</v>
      </c>
      <c r="D25" s="5" t="s">
        <v>26</v>
      </c>
      <c r="E25" s="5" t="s">
        <v>30</v>
      </c>
      <c r="F25" s="5" t="s">
        <v>47</v>
      </c>
    </row>
    <row r="26" spans="2:10" x14ac:dyDescent="0.3">
      <c r="B26" s="21" t="s">
        <v>13</v>
      </c>
      <c r="C26" s="20">
        <v>1</v>
      </c>
      <c r="D26" s="20">
        <v>-7.0000000000000001E-3</v>
      </c>
      <c r="E26" s="20">
        <v>-1.2E-2</v>
      </c>
      <c r="F26" s="20">
        <v>0</v>
      </c>
    </row>
    <row r="27" spans="2:10" x14ac:dyDescent="0.3">
      <c r="B27" s="21" t="s">
        <v>26</v>
      </c>
      <c r="C27" s="20">
        <v>-7.0000000000000001E-3</v>
      </c>
      <c r="D27" s="20">
        <v>1</v>
      </c>
      <c r="E27" s="20">
        <v>8.9999999999999993E-3</v>
      </c>
      <c r="F27" s="20">
        <v>0.17899999999999999</v>
      </c>
    </row>
    <row r="28" spans="2:10" x14ac:dyDescent="0.3">
      <c r="B28" s="21" t="s">
        <v>30</v>
      </c>
      <c r="C28" s="20">
        <v>-1.2E-2</v>
      </c>
      <c r="D28" s="20">
        <v>8.9999999999999993E-3</v>
      </c>
      <c r="E28" s="20">
        <v>1</v>
      </c>
      <c r="F28" s="22">
        <v>-0.91900000000000004</v>
      </c>
    </row>
    <row r="29" spans="2:10" x14ac:dyDescent="0.3">
      <c r="B29" s="21" t="s">
        <v>47</v>
      </c>
      <c r="C29" s="20">
        <v>0</v>
      </c>
      <c r="D29" s="20">
        <v>0.17899999999999999</v>
      </c>
      <c r="E29" s="22">
        <v>-0.91900000000000004</v>
      </c>
      <c r="F29" s="20">
        <v>1</v>
      </c>
    </row>
    <row r="31" spans="2:10" ht="7.5" customHeight="1" x14ac:dyDescent="0.3"/>
    <row r="32" spans="2:10" ht="24.75" customHeight="1" x14ac:dyDescent="0.3">
      <c r="B32" s="73" t="s">
        <v>140</v>
      </c>
      <c r="C32" s="73"/>
      <c r="D32" s="73"/>
      <c r="E32" s="73"/>
      <c r="G32" s="73" t="s">
        <v>141</v>
      </c>
      <c r="H32" s="73"/>
      <c r="I32" s="73"/>
      <c r="J32" s="73"/>
    </row>
    <row r="33" spans="2:9" x14ac:dyDescent="0.3">
      <c r="B33" s="5" t="s">
        <v>33</v>
      </c>
      <c r="C33" s="5" t="s">
        <v>118</v>
      </c>
      <c r="D33" s="5" t="s">
        <v>131</v>
      </c>
      <c r="E33" s="5" t="s">
        <v>142</v>
      </c>
      <c r="G33" s="5" t="s">
        <v>143</v>
      </c>
      <c r="H33" s="5" t="s">
        <v>118</v>
      </c>
      <c r="I33" s="5" t="s">
        <v>131</v>
      </c>
    </row>
    <row r="34" spans="2:9" x14ac:dyDescent="0.3">
      <c r="B34" s="6" t="s">
        <v>112</v>
      </c>
      <c r="C34" s="6">
        <v>1671</v>
      </c>
      <c r="D34" s="19">
        <v>1.819</v>
      </c>
      <c r="E34" s="6">
        <v>14.6</v>
      </c>
      <c r="G34" s="6" t="s">
        <v>144</v>
      </c>
      <c r="H34" s="6">
        <v>212</v>
      </c>
      <c r="I34" s="19">
        <v>1.54</v>
      </c>
    </row>
    <row r="35" spans="2:9" x14ac:dyDescent="0.3">
      <c r="B35" s="8" t="s">
        <v>109</v>
      </c>
      <c r="C35" s="8">
        <v>721</v>
      </c>
      <c r="D35" s="20">
        <v>2.1080000000000001</v>
      </c>
      <c r="E35" s="8">
        <v>14.3</v>
      </c>
      <c r="G35" s="8" t="s">
        <v>145</v>
      </c>
      <c r="H35" s="8">
        <v>489</v>
      </c>
      <c r="I35" s="20">
        <v>1.756</v>
      </c>
    </row>
    <row r="36" spans="2:9" x14ac:dyDescent="0.3">
      <c r="G36" s="6" t="s">
        <v>146</v>
      </c>
      <c r="H36" s="6">
        <v>740</v>
      </c>
      <c r="I36" s="19">
        <v>1.8839999999999999</v>
      </c>
    </row>
    <row r="37" spans="2:9" x14ac:dyDescent="0.3">
      <c r="G37" s="8" t="s">
        <v>147</v>
      </c>
      <c r="H37" s="8">
        <v>697</v>
      </c>
      <c r="I37" s="20">
        <v>2.0419999999999998</v>
      </c>
    </row>
    <row r="38" spans="2:9" x14ac:dyDescent="0.3">
      <c r="G38" s="6" t="s">
        <v>148</v>
      </c>
      <c r="H38" s="6">
        <v>254</v>
      </c>
      <c r="I38" s="19">
        <v>2.1920000000000002</v>
      </c>
    </row>
  </sheetData>
  <mergeCells count="7">
    <mergeCell ref="B32:E32"/>
    <mergeCell ref="G32:J32"/>
    <mergeCell ref="B1:P1"/>
    <mergeCell ref="B3:I3"/>
    <mergeCell ref="B15:D15"/>
    <mergeCell ref="G15:J15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8A6FF"/>
    <pageSetUpPr fitToPage="1"/>
  </sheetPr>
  <dimension ref="A1:X79"/>
  <sheetViews>
    <sheetView showGridLines="0" tabSelected="1" zoomScale="44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W2" sqref="W2"/>
    </sheetView>
  </sheetViews>
  <sheetFormatPr defaultColWidth="8.6640625" defaultRowHeight="14.4" x14ac:dyDescent="0.3"/>
  <cols>
    <col min="1" max="1" width="1.5546875" customWidth="1"/>
    <col min="2" max="5" width="14" customWidth="1"/>
    <col min="6" max="6" width="1.5546875" customWidth="1"/>
    <col min="7" max="10" width="14" customWidth="1"/>
    <col min="11" max="11" width="1.5546875" customWidth="1"/>
    <col min="12" max="15" width="14" customWidth="1"/>
    <col min="16" max="16" width="1.5546875" customWidth="1"/>
    <col min="18" max="18" width="14.6640625" customWidth="1"/>
    <col min="19" max="20" width="10.5546875" customWidth="1"/>
    <col min="22" max="22" width="15.109375" customWidth="1"/>
    <col min="23" max="23" width="14.6640625" customWidth="1"/>
    <col min="24" max="24" width="10.5546875" customWidth="1"/>
  </cols>
  <sheetData>
    <row r="1" spans="1:16" ht="7.5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49.5" customHeight="1" x14ac:dyDescent="0.3">
      <c r="A2" s="24"/>
      <c r="B2" s="64" t="s">
        <v>149</v>
      </c>
      <c r="C2" s="64"/>
      <c r="D2" s="64"/>
      <c r="E2" s="64"/>
      <c r="F2" s="64"/>
      <c r="G2" s="64"/>
      <c r="H2" s="64"/>
      <c r="I2" s="65" t="s">
        <v>265</v>
      </c>
      <c r="J2" s="65"/>
      <c r="K2" s="65"/>
      <c r="L2" s="65"/>
      <c r="M2" s="65"/>
      <c r="N2" s="65"/>
      <c r="O2" s="65"/>
      <c r="P2" s="25"/>
    </row>
    <row r="3" spans="1:16" ht="3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21.75" customHeight="1" x14ac:dyDescent="0.3">
      <c r="A4" s="23"/>
      <c r="B4" s="55" t="s">
        <v>150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23"/>
    </row>
    <row r="5" spans="1:16" ht="3.75" customHeight="1" x14ac:dyDescent="0.3">
      <c r="A5" s="23"/>
      <c r="B5" s="24"/>
      <c r="C5" s="24"/>
      <c r="D5" s="24"/>
      <c r="E5" s="26"/>
      <c r="F5" s="26"/>
      <c r="G5" s="26"/>
      <c r="H5" s="27"/>
      <c r="I5" s="27"/>
      <c r="J5" s="27"/>
      <c r="K5" s="28"/>
      <c r="L5" s="28"/>
      <c r="M5" s="28"/>
      <c r="N5" s="29"/>
      <c r="O5" s="29"/>
      <c r="P5" s="23"/>
    </row>
    <row r="6" spans="1:16" ht="36" customHeight="1" x14ac:dyDescent="0.3">
      <c r="A6" s="23"/>
      <c r="B6" s="66" t="s">
        <v>151</v>
      </c>
      <c r="C6" s="66"/>
      <c r="D6" s="66"/>
      <c r="E6" s="67" t="s">
        <v>152</v>
      </c>
      <c r="F6" s="67"/>
      <c r="G6" s="67"/>
      <c r="H6" s="68" t="s">
        <v>153</v>
      </c>
      <c r="I6" s="68"/>
      <c r="J6" s="68"/>
      <c r="K6" s="69" t="s">
        <v>154</v>
      </c>
      <c r="L6" s="69"/>
      <c r="M6" s="69"/>
      <c r="N6" s="70" t="s">
        <v>155</v>
      </c>
      <c r="O6" s="70"/>
      <c r="P6" s="23"/>
    </row>
    <row r="7" spans="1:16" ht="21.75" customHeight="1" x14ac:dyDescent="0.3">
      <c r="A7" s="23"/>
      <c r="B7" s="63" t="s">
        <v>156</v>
      </c>
      <c r="C7" s="63"/>
      <c r="D7" s="63"/>
      <c r="E7" s="63" t="s">
        <v>157</v>
      </c>
      <c r="F7" s="63"/>
      <c r="G7" s="63"/>
      <c r="H7" s="63" t="s">
        <v>158</v>
      </c>
      <c r="I7" s="63"/>
      <c r="J7" s="63"/>
      <c r="K7" s="63" t="s">
        <v>159</v>
      </c>
      <c r="L7" s="63"/>
      <c r="M7" s="63"/>
      <c r="N7" s="63" t="s">
        <v>160</v>
      </c>
      <c r="O7" s="63"/>
      <c r="P7" s="23"/>
    </row>
    <row r="8" spans="1:16" ht="9.7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27.75" customHeight="1" x14ac:dyDescent="0.3">
      <c r="A9" s="23"/>
      <c r="B9" s="57" t="s">
        <v>161</v>
      </c>
      <c r="C9" s="57"/>
      <c r="D9" s="57"/>
      <c r="E9" s="57"/>
      <c r="F9" s="23"/>
      <c r="G9" s="58" t="s">
        <v>162</v>
      </c>
      <c r="H9" s="58"/>
      <c r="I9" s="58"/>
      <c r="J9" s="58"/>
      <c r="K9" s="23"/>
      <c r="L9" s="59" t="s">
        <v>163</v>
      </c>
      <c r="M9" s="59"/>
      <c r="N9" s="59"/>
      <c r="O9" s="59"/>
      <c r="P9" s="23"/>
    </row>
    <row r="10" spans="1:16" ht="7.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69.5" customHeight="1" x14ac:dyDescent="0.3">
      <c r="A11" s="23"/>
      <c r="B11" s="30"/>
      <c r="C11" s="30"/>
      <c r="D11" s="30"/>
      <c r="E11" s="30"/>
      <c r="F11" s="23"/>
      <c r="G11" s="30"/>
      <c r="H11" s="30"/>
      <c r="I11" s="30"/>
      <c r="J11" s="30"/>
      <c r="K11" s="23"/>
      <c r="L11" s="30"/>
      <c r="M11" s="30"/>
      <c r="N11" s="30"/>
      <c r="O11" s="30"/>
      <c r="P11" s="23"/>
    </row>
    <row r="12" spans="1:16" ht="9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169.5" customHeight="1" x14ac:dyDescent="0.3">
      <c r="A13" s="23"/>
      <c r="B13" s="60" t="s">
        <v>164</v>
      </c>
      <c r="C13" s="60"/>
      <c r="D13" s="60"/>
      <c r="E13" s="60"/>
      <c r="F13" s="23"/>
      <c r="G13" s="61" t="s">
        <v>165</v>
      </c>
      <c r="H13" s="61"/>
      <c r="I13" s="61"/>
      <c r="J13" s="61"/>
      <c r="K13" s="23"/>
      <c r="L13" s="62" t="s">
        <v>166</v>
      </c>
      <c r="M13" s="62"/>
      <c r="N13" s="62"/>
      <c r="O13" s="62"/>
      <c r="P13" s="23"/>
    </row>
    <row r="14" spans="1:16" ht="9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69.5" customHeight="1" x14ac:dyDescent="0.3">
      <c r="A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ht="9.75" customHeight="1" x14ac:dyDescent="0.3">
      <c r="A16" s="23"/>
      <c r="B16" s="30"/>
      <c r="C16" s="30"/>
      <c r="D16" s="30"/>
      <c r="E16" s="3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24" ht="27.75" customHeight="1" x14ac:dyDescent="0.3">
      <c r="A17" s="23"/>
      <c r="B17" s="30"/>
      <c r="C17" s="30"/>
      <c r="D17" s="30"/>
      <c r="E17" s="3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24" ht="27.75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4" ht="27.75" customHeight="1" x14ac:dyDescent="0.3">
      <c r="A19" s="23"/>
      <c r="B19" s="55" t="s">
        <v>167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23"/>
    </row>
    <row r="20" spans="1:24" ht="27.75" customHeight="1" x14ac:dyDescent="0.3">
      <c r="A20" s="23"/>
      <c r="B20" s="31" t="s">
        <v>168</v>
      </c>
      <c r="C20" s="3" t="s">
        <v>169</v>
      </c>
      <c r="D20" s="54" t="s">
        <v>170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23"/>
    </row>
    <row r="21" spans="1:24" ht="7.5" customHeight="1" x14ac:dyDescent="0.3">
      <c r="A21" s="23"/>
      <c r="B21" s="32" t="s">
        <v>171</v>
      </c>
      <c r="C21" s="4" t="s">
        <v>172</v>
      </c>
      <c r="D21" s="54" t="s">
        <v>173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23"/>
    </row>
    <row r="22" spans="1:24" ht="169.5" customHeight="1" x14ac:dyDescent="0.3">
      <c r="A22" s="23"/>
      <c r="B22" s="33" t="s">
        <v>174</v>
      </c>
      <c r="C22" s="81" t="s">
        <v>175</v>
      </c>
      <c r="D22" s="80" t="s">
        <v>176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23"/>
    </row>
    <row r="23" spans="1:24" ht="9.75" customHeight="1" x14ac:dyDescent="0.3">
      <c r="A23" s="23"/>
      <c r="B23" s="34" t="s">
        <v>177</v>
      </c>
      <c r="C23" s="1" t="s">
        <v>143</v>
      </c>
      <c r="D23" s="54" t="s">
        <v>178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23"/>
    </row>
    <row r="24" spans="1:24" ht="21.75" customHeight="1" x14ac:dyDescent="0.3">
      <c r="A24" s="23"/>
      <c r="B24" s="35" t="s">
        <v>179</v>
      </c>
      <c r="C24" s="2" t="s">
        <v>180</v>
      </c>
      <c r="D24" s="54" t="s">
        <v>181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23"/>
    </row>
    <row r="25" spans="1:24" ht="24" customHeight="1" x14ac:dyDescent="0.3">
      <c r="A25" s="23"/>
      <c r="B25" s="36" t="s">
        <v>182</v>
      </c>
      <c r="C25" s="37" t="s">
        <v>183</v>
      </c>
      <c r="D25" s="54" t="s">
        <v>184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24" ht="24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24" ht="24" customHeight="1" x14ac:dyDescent="0.3">
      <c r="A27" s="23"/>
      <c r="B27" s="55" t="s">
        <v>188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23"/>
    </row>
    <row r="28" spans="1:24" ht="24" customHeight="1" x14ac:dyDescent="0.3">
      <c r="A28" s="23"/>
      <c r="B28" s="56" t="s">
        <v>3</v>
      </c>
      <c r="C28" s="56"/>
      <c r="D28" s="56" t="s">
        <v>13</v>
      </c>
      <c r="E28" s="56"/>
      <c r="F28" s="56" t="s">
        <v>190</v>
      </c>
      <c r="G28" s="56"/>
      <c r="H28" s="56" t="s">
        <v>30</v>
      </c>
      <c r="I28" s="56"/>
      <c r="J28" s="56" t="s">
        <v>47</v>
      </c>
      <c r="K28" s="56"/>
      <c r="L28" s="23"/>
      <c r="M28" s="23"/>
      <c r="N28" s="23"/>
      <c r="O28" s="23"/>
      <c r="P28" s="23"/>
    </row>
    <row r="29" spans="1:24" ht="24" customHeight="1" x14ac:dyDescent="0.3">
      <c r="A29" s="23"/>
      <c r="B29" s="50" t="s">
        <v>13</v>
      </c>
      <c r="C29" s="50"/>
      <c r="D29" s="51" t="s">
        <v>192</v>
      </c>
      <c r="E29" s="51"/>
      <c r="F29" s="51" t="s">
        <v>193</v>
      </c>
      <c r="G29" s="51"/>
      <c r="H29" s="51" t="s">
        <v>194</v>
      </c>
      <c r="I29" s="51"/>
      <c r="J29" s="51" t="s">
        <v>195</v>
      </c>
      <c r="K29" s="51"/>
      <c r="L29" s="23"/>
      <c r="M29" s="23"/>
      <c r="N29" s="23"/>
      <c r="O29" s="23"/>
      <c r="P29" s="23"/>
    </row>
    <row r="30" spans="1:24" ht="24" customHeight="1" x14ac:dyDescent="0.3">
      <c r="A30" s="23"/>
      <c r="B30" s="46" t="s">
        <v>190</v>
      </c>
      <c r="C30" s="46"/>
      <c r="D30" s="47" t="s">
        <v>193</v>
      </c>
      <c r="E30" s="47"/>
      <c r="F30" s="47" t="s">
        <v>192</v>
      </c>
      <c r="G30" s="47"/>
      <c r="H30" s="48" t="s">
        <v>197</v>
      </c>
      <c r="I30" s="48"/>
      <c r="J30" s="48" t="s">
        <v>198</v>
      </c>
      <c r="K30" s="48"/>
      <c r="L30" s="23"/>
      <c r="M30" s="23"/>
      <c r="N30" s="23"/>
      <c r="O30" s="23"/>
      <c r="P30" s="23"/>
    </row>
    <row r="31" spans="1:24" ht="9.75" customHeight="1" x14ac:dyDescent="0.3">
      <c r="A31" s="23"/>
      <c r="B31" s="50" t="s">
        <v>30</v>
      </c>
      <c r="C31" s="50"/>
      <c r="D31" s="51" t="s">
        <v>194</v>
      </c>
      <c r="E31" s="51"/>
      <c r="F31" s="52" t="s">
        <v>197</v>
      </c>
      <c r="G31" s="52"/>
      <c r="H31" s="51" t="s">
        <v>192</v>
      </c>
      <c r="I31" s="51"/>
      <c r="J31" s="53" t="s">
        <v>200</v>
      </c>
      <c r="K31" s="53"/>
      <c r="L31" s="23"/>
      <c r="M31" s="23"/>
      <c r="N31" s="23"/>
      <c r="O31" s="23"/>
      <c r="P31" s="23"/>
    </row>
    <row r="32" spans="1:24" ht="21.75" customHeight="1" x14ac:dyDescent="0.3">
      <c r="A32" s="23"/>
      <c r="B32" s="46" t="s">
        <v>47</v>
      </c>
      <c r="C32" s="46"/>
      <c r="D32" s="47" t="s">
        <v>195</v>
      </c>
      <c r="E32" s="47"/>
      <c r="F32" s="48" t="s">
        <v>198</v>
      </c>
      <c r="G32" s="48"/>
      <c r="H32" s="49" t="s">
        <v>200</v>
      </c>
      <c r="I32" s="49"/>
      <c r="J32" s="47" t="s">
        <v>192</v>
      </c>
      <c r="K32" s="47"/>
      <c r="L32" s="23"/>
      <c r="M32" s="23"/>
      <c r="N32" s="23"/>
      <c r="O32" s="23"/>
      <c r="P32" s="23"/>
      <c r="S32" t="s">
        <v>185</v>
      </c>
      <c r="T32" t="s">
        <v>131</v>
      </c>
      <c r="U32" t="s">
        <v>118</v>
      </c>
      <c r="V32" t="s">
        <v>186</v>
      </c>
      <c r="W32" t="s">
        <v>142</v>
      </c>
      <c r="X32" t="s">
        <v>266</v>
      </c>
    </row>
    <row r="33" spans="1:23" ht="24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S33" t="s">
        <v>187</v>
      </c>
      <c r="T33">
        <v>3.1030000000000002</v>
      </c>
      <c r="U33">
        <v>107</v>
      </c>
      <c r="V33">
        <v>11.85</v>
      </c>
      <c r="W33">
        <v>5.7</v>
      </c>
    </row>
    <row r="34" spans="1:23" ht="21.75" customHeight="1" x14ac:dyDescent="0.3">
      <c r="A34" s="25"/>
      <c r="B34" s="45" t="s">
        <v>264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25"/>
      <c r="S34" t="s">
        <v>189</v>
      </c>
      <c r="T34">
        <v>3.0019999999999998</v>
      </c>
      <c r="U34">
        <v>269</v>
      </c>
      <c r="V34">
        <v>11.12</v>
      </c>
      <c r="W34">
        <v>5.3</v>
      </c>
    </row>
    <row r="35" spans="1:23" ht="21.75" customHeight="1" x14ac:dyDescent="0.3">
      <c r="A35" s="23"/>
      <c r="S35" t="s">
        <v>191</v>
      </c>
      <c r="T35">
        <v>2.66</v>
      </c>
      <c r="U35">
        <v>391</v>
      </c>
      <c r="V35">
        <v>10.11</v>
      </c>
      <c r="W35">
        <v>7.3</v>
      </c>
    </row>
    <row r="36" spans="1:23" ht="21.75" customHeight="1" x14ac:dyDescent="0.3">
      <c r="A36" s="23"/>
      <c r="S36" t="s">
        <v>196</v>
      </c>
      <c r="T36">
        <v>2.2160000000000002</v>
      </c>
      <c r="U36">
        <v>414</v>
      </c>
      <c r="V36">
        <v>9.76</v>
      </c>
      <c r="W36">
        <v>11.4</v>
      </c>
    </row>
    <row r="37" spans="1:23" ht="21.75" customHeight="1" x14ac:dyDescent="0.3">
      <c r="A37" s="23"/>
      <c r="S37" t="s">
        <v>199</v>
      </c>
      <c r="T37">
        <v>1.208</v>
      </c>
      <c r="U37">
        <v>1211</v>
      </c>
      <c r="V37">
        <v>9.18</v>
      </c>
      <c r="W37">
        <v>20.8</v>
      </c>
    </row>
    <row r="38" spans="1:23" ht="18" customHeight="1" x14ac:dyDescent="0.3">
      <c r="A38" s="23"/>
    </row>
    <row r="39" spans="1:23" ht="21.75" customHeight="1" x14ac:dyDescent="0.3">
      <c r="A39" s="23"/>
      <c r="U39" t="s">
        <v>16</v>
      </c>
      <c r="V39" t="s">
        <v>118</v>
      </c>
    </row>
    <row r="40" spans="1:23" ht="18" customHeight="1" x14ac:dyDescent="0.3">
      <c r="A40" s="23"/>
      <c r="U40" t="s">
        <v>107</v>
      </c>
      <c r="V40">
        <v>1222</v>
      </c>
    </row>
    <row r="41" spans="1:23" ht="18" customHeight="1" x14ac:dyDescent="0.3">
      <c r="A41" s="23"/>
      <c r="U41" t="s">
        <v>110</v>
      </c>
      <c r="V41">
        <v>1170</v>
      </c>
    </row>
    <row r="42" spans="1:23" ht="18" customHeight="1" x14ac:dyDescent="0.3">
      <c r="A42" s="23"/>
    </row>
    <row r="43" spans="1:23" ht="18" customHeight="1" x14ac:dyDescent="0.3">
      <c r="A43" s="23"/>
      <c r="R43" t="s">
        <v>201</v>
      </c>
      <c r="S43" t="s">
        <v>131</v>
      </c>
    </row>
    <row r="44" spans="1:23" ht="18" customHeight="1" x14ac:dyDescent="0.3">
      <c r="A44" s="23"/>
      <c r="R44" t="s">
        <v>144</v>
      </c>
      <c r="S44">
        <v>1.54</v>
      </c>
    </row>
    <row r="45" spans="1:23" ht="18" customHeight="1" x14ac:dyDescent="0.3">
      <c r="A45" s="23"/>
      <c r="R45" t="s">
        <v>145</v>
      </c>
      <c r="S45">
        <v>1.756</v>
      </c>
    </row>
    <row r="46" spans="1:23" ht="18" customHeight="1" x14ac:dyDescent="0.3">
      <c r="A46" s="23"/>
      <c r="R46" t="s">
        <v>202</v>
      </c>
      <c r="S46">
        <v>1.8839999999999999</v>
      </c>
    </row>
    <row r="47" spans="1:23" ht="18" customHeight="1" x14ac:dyDescent="0.3">
      <c r="A47" s="23"/>
      <c r="R47" t="s">
        <v>147</v>
      </c>
      <c r="S47">
        <v>2.0419999999999998</v>
      </c>
    </row>
    <row r="48" spans="1:23" ht="18" customHeight="1" x14ac:dyDescent="0.3">
      <c r="A48" s="23"/>
      <c r="R48" t="s">
        <v>203</v>
      </c>
      <c r="S48">
        <v>2.1920000000000002</v>
      </c>
    </row>
    <row r="49" spans="1:19" ht="18" customHeight="1" x14ac:dyDescent="0.3">
      <c r="A49" s="23"/>
    </row>
    <row r="50" spans="1:19" ht="18" customHeight="1" x14ac:dyDescent="0.3">
      <c r="A50" s="23"/>
    </row>
    <row r="51" spans="1:19" ht="18" customHeight="1" x14ac:dyDescent="0.3">
      <c r="A51" s="23"/>
      <c r="R51" t="s">
        <v>33</v>
      </c>
      <c r="S51" t="s">
        <v>131</v>
      </c>
    </row>
    <row r="52" spans="1:19" ht="18" customHeight="1" x14ac:dyDescent="0.3">
      <c r="A52" s="23"/>
      <c r="R52" t="s">
        <v>204</v>
      </c>
      <c r="S52">
        <v>1.819</v>
      </c>
    </row>
    <row r="53" spans="1:19" ht="18" customHeight="1" x14ac:dyDescent="0.3">
      <c r="A53" s="23"/>
      <c r="R53" t="s">
        <v>205</v>
      </c>
      <c r="S53">
        <v>2.1080000000000001</v>
      </c>
    </row>
    <row r="54" spans="1:19" ht="18" customHeight="1" x14ac:dyDescent="0.3">
      <c r="A54" s="23"/>
    </row>
    <row r="55" spans="1:19" ht="18" customHeight="1" x14ac:dyDescent="0.3">
      <c r="A55" s="23"/>
    </row>
    <row r="56" spans="1:19" ht="18" customHeight="1" x14ac:dyDescent="0.3">
      <c r="A56" s="23"/>
    </row>
    <row r="57" spans="1:19" ht="18" customHeight="1" x14ac:dyDescent="0.3">
      <c r="A57" s="23"/>
    </row>
    <row r="58" spans="1:19" ht="18" customHeight="1" x14ac:dyDescent="0.3">
      <c r="A58" s="23"/>
    </row>
    <row r="59" spans="1:19" ht="18" customHeight="1" x14ac:dyDescent="0.3">
      <c r="A59" s="23"/>
    </row>
    <row r="60" spans="1:19" ht="18" customHeight="1" x14ac:dyDescent="0.3">
      <c r="A60" s="23"/>
    </row>
    <row r="61" spans="1:19" ht="18" customHeight="1" x14ac:dyDescent="0.3">
      <c r="A61" s="23"/>
    </row>
    <row r="62" spans="1:19" ht="18" customHeight="1" x14ac:dyDescent="0.3">
      <c r="A62" s="23"/>
    </row>
    <row r="63" spans="1:19" ht="18" customHeight="1" x14ac:dyDescent="0.3">
      <c r="A63" s="23"/>
    </row>
    <row r="64" spans="1:19" ht="18" customHeight="1" x14ac:dyDescent="0.3">
      <c r="A64" s="23"/>
    </row>
    <row r="65" spans="1:1" ht="18" customHeight="1" x14ac:dyDescent="0.3">
      <c r="A65" s="23"/>
    </row>
    <row r="66" spans="1:1" ht="18" customHeight="1" x14ac:dyDescent="0.3"/>
    <row r="67" spans="1:1" ht="18" customHeight="1" x14ac:dyDescent="0.3"/>
    <row r="68" spans="1:1" ht="18" customHeight="1" x14ac:dyDescent="0.3"/>
    <row r="69" spans="1:1" ht="18" customHeight="1" x14ac:dyDescent="0.3"/>
    <row r="70" spans="1:1" ht="18" customHeight="1" x14ac:dyDescent="0.3"/>
    <row r="71" spans="1:1" ht="18" customHeight="1" x14ac:dyDescent="0.3"/>
    <row r="72" spans="1:1" ht="18" customHeight="1" x14ac:dyDescent="0.3"/>
    <row r="73" spans="1:1" ht="18" customHeight="1" x14ac:dyDescent="0.3"/>
    <row r="74" spans="1:1" ht="18" customHeight="1" x14ac:dyDescent="0.3"/>
    <row r="75" spans="1:1" ht="18" customHeight="1" x14ac:dyDescent="0.3"/>
    <row r="76" spans="1:1" ht="18" customHeight="1" x14ac:dyDescent="0.3"/>
    <row r="77" spans="1:1" ht="18" customHeight="1" x14ac:dyDescent="0.3"/>
    <row r="78" spans="1:1" ht="18" customHeight="1" x14ac:dyDescent="0.3"/>
    <row r="79" spans="1:1" ht="18" customHeight="1" x14ac:dyDescent="0.3"/>
  </sheetData>
  <mergeCells count="53">
    <mergeCell ref="B2:H2"/>
    <mergeCell ref="I2:O2"/>
    <mergeCell ref="B4:O4"/>
    <mergeCell ref="B6:D6"/>
    <mergeCell ref="E6:G6"/>
    <mergeCell ref="H6:J6"/>
    <mergeCell ref="K6:M6"/>
    <mergeCell ref="N6:O6"/>
    <mergeCell ref="B7:D7"/>
    <mergeCell ref="E7:G7"/>
    <mergeCell ref="H7:J7"/>
    <mergeCell ref="K7:M7"/>
    <mergeCell ref="N7:O7"/>
    <mergeCell ref="B9:E9"/>
    <mergeCell ref="G9:J9"/>
    <mergeCell ref="L9:O9"/>
    <mergeCell ref="B13:E13"/>
    <mergeCell ref="G13:J13"/>
    <mergeCell ref="L13:O13"/>
    <mergeCell ref="B19:O19"/>
    <mergeCell ref="D20:O20"/>
    <mergeCell ref="D21:O21"/>
    <mergeCell ref="D22:O22"/>
    <mergeCell ref="D23:O23"/>
    <mergeCell ref="D24:O24"/>
    <mergeCell ref="D25:O25"/>
    <mergeCell ref="B27:O27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8:C28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4:O34"/>
    <mergeCell ref="B32:C32"/>
    <mergeCell ref="D32:E32"/>
    <mergeCell ref="F32:G32"/>
    <mergeCell ref="H32:I32"/>
    <mergeCell ref="J32:K32"/>
  </mergeCells>
  <pageMargins left="0.75" right="0.75" top="1" bottom="1" header="0.511811023622047" footer="0.511811023622047"/>
  <pageSetup fitToHeight="0" orientation="landscape" horizontalDpi="300" verticalDpi="300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B6B"/>
  </sheetPr>
  <dimension ref="B1:N72"/>
  <sheetViews>
    <sheetView showGridLines="0" topLeftCell="A74" zoomScaleNormal="100" workbookViewId="0"/>
  </sheetViews>
  <sheetFormatPr defaultColWidth="8.6640625" defaultRowHeight="14.4" x14ac:dyDescent="0.3"/>
  <cols>
    <col min="1" max="1" width="3" customWidth="1"/>
    <col min="2" max="10" width="16" customWidth="1"/>
  </cols>
  <sheetData>
    <row r="1" spans="2:14" ht="34.5" customHeight="1" x14ac:dyDescent="0.3">
      <c r="B1" s="76" t="s">
        <v>206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2:14" ht="7.5" customHeight="1" x14ac:dyDescent="0.3"/>
    <row r="3" spans="2:14" ht="24.75" customHeight="1" x14ac:dyDescent="0.3">
      <c r="B3" s="73" t="s">
        <v>207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2:14" ht="15" customHeight="1" x14ac:dyDescent="0.3">
      <c r="B4" s="5" t="s">
        <v>208</v>
      </c>
      <c r="C4" s="77" t="s">
        <v>5</v>
      </c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2:14" x14ac:dyDescent="0.3">
      <c r="B5" s="14" t="s">
        <v>209</v>
      </c>
      <c r="C5" s="74" t="s">
        <v>210</v>
      </c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2:14" x14ac:dyDescent="0.3">
      <c r="B6" s="15" t="s">
        <v>211</v>
      </c>
      <c r="C6" s="75" t="s">
        <v>212</v>
      </c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2:14" x14ac:dyDescent="0.3">
      <c r="B7" s="14" t="s">
        <v>213</v>
      </c>
      <c r="C7" s="74" t="s">
        <v>214</v>
      </c>
      <c r="D7" s="74"/>
      <c r="E7" s="74"/>
      <c r="F7" s="74"/>
      <c r="G7" s="74"/>
      <c r="H7" s="74"/>
      <c r="I7" s="74"/>
      <c r="J7" s="74"/>
      <c r="K7" s="74"/>
      <c r="L7" s="74"/>
      <c r="M7" s="74"/>
    </row>
    <row r="8" spans="2:14" x14ac:dyDescent="0.3">
      <c r="B8" s="15" t="s">
        <v>215</v>
      </c>
      <c r="C8" s="75" t="s">
        <v>216</v>
      </c>
      <c r="D8" s="75"/>
      <c r="E8" s="75"/>
      <c r="F8" s="75"/>
      <c r="G8" s="75"/>
      <c r="H8" s="75"/>
      <c r="I8" s="75"/>
      <c r="J8" s="75"/>
      <c r="K8" s="75"/>
      <c r="L8" s="75"/>
      <c r="M8" s="75"/>
    </row>
    <row r="9" spans="2:14" x14ac:dyDescent="0.3">
      <c r="B9" s="14" t="s">
        <v>217</v>
      </c>
      <c r="C9" s="74" t="s">
        <v>218</v>
      </c>
      <c r="D9" s="74"/>
      <c r="E9" s="74"/>
      <c r="F9" s="74"/>
      <c r="G9" s="74"/>
      <c r="H9" s="74"/>
      <c r="I9" s="74"/>
      <c r="J9" s="74"/>
      <c r="K9" s="74"/>
      <c r="L9" s="74"/>
      <c r="M9" s="74"/>
    </row>
    <row r="11" spans="2:14" ht="7.5" customHeight="1" x14ac:dyDescent="0.3"/>
    <row r="12" spans="2:14" ht="24.75" customHeight="1" x14ac:dyDescent="0.3">
      <c r="B12" s="73" t="s">
        <v>219</v>
      </c>
      <c r="C12" s="73"/>
      <c r="D12" s="73"/>
      <c r="E12" s="73"/>
      <c r="F12" s="73"/>
      <c r="G12" s="73"/>
    </row>
    <row r="13" spans="2:14" ht="15" customHeight="1" x14ac:dyDescent="0.3">
      <c r="B13" s="5" t="s">
        <v>3</v>
      </c>
      <c r="C13" s="5" t="s">
        <v>220</v>
      </c>
      <c r="D13" s="77" t="s">
        <v>221</v>
      </c>
      <c r="E13" s="77"/>
      <c r="F13" s="77"/>
      <c r="G13" s="77"/>
    </row>
    <row r="14" spans="2:14" x14ac:dyDescent="0.3">
      <c r="B14" s="14" t="s">
        <v>26</v>
      </c>
      <c r="C14" s="6" t="s">
        <v>222</v>
      </c>
      <c r="D14" s="74" t="s">
        <v>223</v>
      </c>
      <c r="E14" s="74"/>
      <c r="F14" s="74"/>
      <c r="G14" s="74"/>
    </row>
    <row r="15" spans="2:14" x14ac:dyDescent="0.3">
      <c r="B15" s="15" t="s">
        <v>30</v>
      </c>
      <c r="C15" s="8" t="s">
        <v>222</v>
      </c>
      <c r="D15" s="75" t="s">
        <v>224</v>
      </c>
      <c r="E15" s="75"/>
      <c r="F15" s="75"/>
      <c r="G15" s="75"/>
    </row>
    <row r="16" spans="2:14" x14ac:dyDescent="0.3">
      <c r="B16" s="14" t="s">
        <v>33</v>
      </c>
      <c r="C16" s="6" t="s">
        <v>225</v>
      </c>
      <c r="D16" s="74" t="s">
        <v>226</v>
      </c>
      <c r="E16" s="74"/>
      <c r="F16" s="74"/>
      <c r="G16" s="74"/>
    </row>
    <row r="17" spans="2:10" x14ac:dyDescent="0.3">
      <c r="B17" s="15" t="s">
        <v>36</v>
      </c>
      <c r="C17" s="8" t="s">
        <v>225</v>
      </c>
      <c r="D17" s="75" t="s">
        <v>227</v>
      </c>
      <c r="E17" s="75"/>
      <c r="F17" s="75"/>
      <c r="G17" s="75"/>
    </row>
    <row r="18" spans="2:10" x14ac:dyDescent="0.3">
      <c r="B18" s="14" t="s">
        <v>39</v>
      </c>
      <c r="C18" s="6" t="s">
        <v>228</v>
      </c>
      <c r="D18" s="74" t="s">
        <v>229</v>
      </c>
      <c r="E18" s="74"/>
      <c r="F18" s="74"/>
      <c r="G18" s="74"/>
    </row>
    <row r="20" spans="2:10" ht="7.5" customHeight="1" x14ac:dyDescent="0.3"/>
    <row r="21" spans="2:10" ht="24.75" customHeight="1" x14ac:dyDescent="0.3">
      <c r="B21" s="73" t="s">
        <v>230</v>
      </c>
      <c r="C21" s="73"/>
      <c r="D21" s="73"/>
      <c r="E21" s="73"/>
      <c r="F21" s="73"/>
      <c r="G21" s="73"/>
      <c r="H21" s="73"/>
    </row>
    <row r="22" spans="2:10" ht="26.4" x14ac:dyDescent="0.3">
      <c r="B22" s="5" t="s">
        <v>129</v>
      </c>
      <c r="C22" s="5" t="s">
        <v>130</v>
      </c>
      <c r="D22" s="5" t="s">
        <v>118</v>
      </c>
      <c r="E22" s="5" t="s">
        <v>231</v>
      </c>
      <c r="F22" s="5" t="s">
        <v>232</v>
      </c>
      <c r="G22" s="5" t="s">
        <v>233</v>
      </c>
      <c r="H22" s="5" t="s">
        <v>234</v>
      </c>
    </row>
    <row r="23" spans="2:10" x14ac:dyDescent="0.3">
      <c r="B23" s="6">
        <v>0</v>
      </c>
      <c r="C23" s="14" t="s">
        <v>133</v>
      </c>
      <c r="D23" s="6">
        <v>107</v>
      </c>
      <c r="E23" s="38">
        <v>64.5</v>
      </c>
      <c r="F23" s="19">
        <v>3.1030000000000002</v>
      </c>
      <c r="G23" s="6" t="s">
        <v>235</v>
      </c>
      <c r="H23" s="11" t="s">
        <v>236</v>
      </c>
    </row>
    <row r="24" spans="2:10" x14ac:dyDescent="0.3">
      <c r="B24" s="8">
        <v>1</v>
      </c>
      <c r="C24" s="15" t="s">
        <v>135</v>
      </c>
      <c r="D24" s="8">
        <v>269</v>
      </c>
      <c r="E24" s="39">
        <v>60.6</v>
      </c>
      <c r="F24" s="20">
        <v>3.0019999999999998</v>
      </c>
      <c r="G24" s="8" t="s">
        <v>237</v>
      </c>
      <c r="H24" s="10" t="s">
        <v>236</v>
      </c>
    </row>
    <row r="25" spans="2:10" x14ac:dyDescent="0.3">
      <c r="B25" s="6">
        <v>2</v>
      </c>
      <c r="C25" s="14" t="s">
        <v>136</v>
      </c>
      <c r="D25" s="6">
        <v>391</v>
      </c>
      <c r="E25" s="38">
        <v>54.5</v>
      </c>
      <c r="F25" s="19">
        <v>2.66</v>
      </c>
      <c r="G25" s="6" t="s">
        <v>238</v>
      </c>
      <c r="H25" s="6" t="s">
        <v>239</v>
      </c>
    </row>
    <row r="26" spans="2:10" x14ac:dyDescent="0.3">
      <c r="B26" s="8">
        <v>3</v>
      </c>
      <c r="C26" s="15" t="s">
        <v>137</v>
      </c>
      <c r="D26" s="8">
        <v>414</v>
      </c>
      <c r="E26" s="39">
        <v>49</v>
      </c>
      <c r="F26" s="20">
        <v>2.2160000000000002</v>
      </c>
      <c r="G26" s="8" t="s">
        <v>238</v>
      </c>
      <c r="H26" s="40" t="s">
        <v>240</v>
      </c>
    </row>
    <row r="27" spans="2:10" x14ac:dyDescent="0.3">
      <c r="B27" s="6">
        <v>4</v>
      </c>
      <c r="C27" s="14" t="s">
        <v>138</v>
      </c>
      <c r="D27" s="6">
        <v>1211</v>
      </c>
      <c r="E27" s="38">
        <v>38.200000000000003</v>
      </c>
      <c r="F27" s="19">
        <v>1.208</v>
      </c>
      <c r="G27" s="6" t="s">
        <v>241</v>
      </c>
      <c r="H27" s="41" t="s">
        <v>240</v>
      </c>
    </row>
    <row r="29" spans="2:10" ht="7.5" customHeight="1" x14ac:dyDescent="0.3"/>
    <row r="30" spans="2:10" ht="24.75" customHeight="1" x14ac:dyDescent="0.3">
      <c r="B30" s="73" t="s">
        <v>242</v>
      </c>
      <c r="C30" s="73"/>
      <c r="D30" s="73"/>
      <c r="E30" s="73"/>
      <c r="F30" s="73"/>
      <c r="G30" s="73"/>
      <c r="H30" s="73"/>
      <c r="I30" s="73"/>
      <c r="J30" s="73"/>
    </row>
    <row r="31" spans="2:10" x14ac:dyDescent="0.3">
      <c r="B31" s="16" t="s">
        <v>8</v>
      </c>
      <c r="C31" s="16" t="s">
        <v>243</v>
      </c>
      <c r="D31" s="16" t="s">
        <v>30</v>
      </c>
      <c r="E31" s="16" t="s">
        <v>33</v>
      </c>
      <c r="F31" s="16" t="s">
        <v>143</v>
      </c>
      <c r="G31" s="16" t="s">
        <v>244</v>
      </c>
      <c r="H31" s="16" t="s">
        <v>129</v>
      </c>
      <c r="I31" s="16" t="s">
        <v>245</v>
      </c>
      <c r="J31" s="16" t="s">
        <v>246</v>
      </c>
    </row>
    <row r="32" spans="2:10" x14ac:dyDescent="0.3">
      <c r="B32" s="6">
        <v>1001</v>
      </c>
      <c r="C32" s="6">
        <v>19.833722810000001</v>
      </c>
      <c r="D32" s="6">
        <v>7</v>
      </c>
      <c r="E32" s="6" t="s">
        <v>109</v>
      </c>
      <c r="F32" s="6" t="s">
        <v>146</v>
      </c>
      <c r="G32" s="17">
        <v>2.9291955920000001</v>
      </c>
      <c r="H32" s="6">
        <v>2</v>
      </c>
      <c r="I32" s="38">
        <v>75.250584215000003</v>
      </c>
      <c r="J32" s="11" t="s">
        <v>235</v>
      </c>
    </row>
    <row r="33" spans="2:10" x14ac:dyDescent="0.3">
      <c r="B33" s="8">
        <v>1002</v>
      </c>
      <c r="C33" s="8">
        <v>15.40875606</v>
      </c>
      <c r="D33" s="8">
        <v>0</v>
      </c>
      <c r="E33" s="8" t="s">
        <v>112</v>
      </c>
      <c r="F33" s="8" t="s">
        <v>145</v>
      </c>
      <c r="G33" s="18">
        <v>3.0429148330000002</v>
      </c>
      <c r="H33" s="8">
        <v>1</v>
      </c>
      <c r="I33" s="39">
        <v>56.863134090000003</v>
      </c>
      <c r="J33" s="42" t="s">
        <v>238</v>
      </c>
    </row>
    <row r="34" spans="2:10" x14ac:dyDescent="0.3">
      <c r="B34" s="6">
        <v>1003</v>
      </c>
      <c r="C34" s="6">
        <v>4.2105697690000001</v>
      </c>
      <c r="D34" s="6">
        <v>26</v>
      </c>
      <c r="E34" s="6" t="s">
        <v>112</v>
      </c>
      <c r="F34" s="6" t="s">
        <v>146</v>
      </c>
      <c r="G34" s="17">
        <v>0.112602254</v>
      </c>
      <c r="H34" s="6">
        <v>4</v>
      </c>
      <c r="I34" s="38">
        <v>17.815854653500001</v>
      </c>
      <c r="J34" s="41" t="s">
        <v>241</v>
      </c>
    </row>
    <row r="35" spans="2:10" x14ac:dyDescent="0.3">
      <c r="B35" s="8">
        <v>1004</v>
      </c>
      <c r="C35" s="8">
        <v>10.02882947</v>
      </c>
      <c r="D35" s="8">
        <v>14</v>
      </c>
      <c r="E35" s="8" t="s">
        <v>112</v>
      </c>
      <c r="F35" s="8" t="s">
        <v>147</v>
      </c>
      <c r="G35" s="18">
        <v>2.0542181400000001</v>
      </c>
      <c r="H35" s="8">
        <v>3</v>
      </c>
      <c r="I35" s="39">
        <v>52.293244205000001</v>
      </c>
      <c r="J35" s="42" t="s">
        <v>238</v>
      </c>
    </row>
    <row r="36" spans="2:10" x14ac:dyDescent="0.3">
      <c r="B36" s="6">
        <v>1005</v>
      </c>
      <c r="C36" s="6">
        <v>4.672495273</v>
      </c>
      <c r="D36" s="6">
        <v>17</v>
      </c>
      <c r="E36" s="6" t="s">
        <v>109</v>
      </c>
      <c r="F36" s="6" t="s">
        <v>147</v>
      </c>
      <c r="G36" s="17">
        <v>1.2880611820000001</v>
      </c>
      <c r="H36" s="6">
        <v>4</v>
      </c>
      <c r="I36" s="38">
        <v>46.2587429095</v>
      </c>
      <c r="J36" s="43" t="s">
        <v>238</v>
      </c>
    </row>
    <row r="37" spans="2:10" x14ac:dyDescent="0.3">
      <c r="B37" s="8">
        <v>1006</v>
      </c>
      <c r="C37" s="8">
        <v>8.1912185449999999</v>
      </c>
      <c r="D37" s="8">
        <v>0</v>
      </c>
      <c r="E37" s="8" t="s">
        <v>112</v>
      </c>
      <c r="F37" s="8" t="s">
        <v>145</v>
      </c>
      <c r="G37" s="18">
        <v>3.0841836140000001</v>
      </c>
      <c r="H37" s="8">
        <v>1</v>
      </c>
      <c r="I37" s="39">
        <v>56.036827817499997</v>
      </c>
      <c r="J37" s="42" t="s">
        <v>238</v>
      </c>
    </row>
    <row r="38" spans="2:10" x14ac:dyDescent="0.3">
      <c r="B38" s="6">
        <v>1007</v>
      </c>
      <c r="C38" s="6">
        <v>15.60168047</v>
      </c>
      <c r="D38" s="6">
        <v>10</v>
      </c>
      <c r="E38" s="6" t="s">
        <v>112</v>
      </c>
      <c r="F38" s="6" t="s">
        <v>147</v>
      </c>
      <c r="G38" s="17">
        <v>2.7482374150000002</v>
      </c>
      <c r="H38" s="6">
        <v>2</v>
      </c>
      <c r="I38" s="38">
        <v>54.652520705000001</v>
      </c>
      <c r="J38" s="43" t="s">
        <v>238</v>
      </c>
    </row>
    <row r="39" spans="2:10" x14ac:dyDescent="0.3">
      <c r="B39" s="8">
        <v>1008</v>
      </c>
      <c r="C39" s="8">
        <v>15.42449631</v>
      </c>
      <c r="D39" s="8">
        <v>22</v>
      </c>
      <c r="E39" s="8" t="s">
        <v>109</v>
      </c>
      <c r="F39" s="8" t="s">
        <v>145</v>
      </c>
      <c r="G39" s="18">
        <v>1.360142712</v>
      </c>
      <c r="H39" s="8">
        <v>4</v>
      </c>
      <c r="I39" s="39">
        <v>59.886744465</v>
      </c>
      <c r="J39" s="42" t="s">
        <v>238</v>
      </c>
    </row>
    <row r="40" spans="2:10" x14ac:dyDescent="0.3">
      <c r="B40" s="6">
        <v>1009</v>
      </c>
      <c r="C40" s="6">
        <v>4.5620075580000004</v>
      </c>
      <c r="D40" s="6">
        <v>1</v>
      </c>
      <c r="E40" s="6" t="s">
        <v>112</v>
      </c>
      <c r="F40" s="6" t="s">
        <v>146</v>
      </c>
      <c r="G40" s="17">
        <v>2.89681919</v>
      </c>
      <c r="H40" s="6">
        <v>2</v>
      </c>
      <c r="I40" s="38">
        <v>43.343011337</v>
      </c>
      <c r="J40" s="41" t="s">
        <v>241</v>
      </c>
    </row>
    <row r="41" spans="2:10" x14ac:dyDescent="0.3">
      <c r="B41" s="8">
        <v>1010</v>
      </c>
      <c r="C41" s="8">
        <v>18.44446636</v>
      </c>
      <c r="D41" s="8">
        <v>0</v>
      </c>
      <c r="E41" s="8" t="s">
        <v>112</v>
      </c>
      <c r="F41" s="8" t="s">
        <v>147</v>
      </c>
      <c r="G41" s="18">
        <v>3.5734742100000001</v>
      </c>
      <c r="H41" s="8">
        <v>0</v>
      </c>
      <c r="I41" s="39">
        <v>78.916699539999996</v>
      </c>
      <c r="J41" s="10" t="s">
        <v>235</v>
      </c>
    </row>
    <row r="42" spans="2:10" x14ac:dyDescent="0.3">
      <c r="B42" s="6">
        <v>1011</v>
      </c>
      <c r="C42" s="6">
        <v>11.851363660000001</v>
      </c>
      <c r="D42" s="6">
        <v>11</v>
      </c>
      <c r="E42" s="6" t="s">
        <v>112</v>
      </c>
      <c r="F42" s="6" t="s">
        <v>145</v>
      </c>
      <c r="G42" s="17">
        <v>2.1471716249999999</v>
      </c>
      <c r="H42" s="6">
        <v>3</v>
      </c>
      <c r="I42" s="38">
        <v>40.527045489999999</v>
      </c>
      <c r="J42" s="41" t="s">
        <v>241</v>
      </c>
    </row>
    <row r="43" spans="2:10" x14ac:dyDescent="0.3">
      <c r="B43" s="8">
        <v>1012</v>
      </c>
      <c r="C43" s="8">
        <v>7.5984858190000004</v>
      </c>
      <c r="D43" s="8">
        <v>15</v>
      </c>
      <c r="E43" s="8" t="s">
        <v>112</v>
      </c>
      <c r="F43" s="8" t="s">
        <v>146</v>
      </c>
      <c r="G43" s="18">
        <v>1.559594519</v>
      </c>
      <c r="H43" s="8">
        <v>4</v>
      </c>
      <c r="I43" s="39">
        <v>33.897728728499999</v>
      </c>
      <c r="J43" s="40" t="s">
        <v>241</v>
      </c>
    </row>
    <row r="44" spans="2:10" x14ac:dyDescent="0.3">
      <c r="B44" s="6">
        <v>1013</v>
      </c>
      <c r="C44" s="6">
        <v>10.038711620000001</v>
      </c>
      <c r="D44" s="6">
        <v>21</v>
      </c>
      <c r="E44" s="6" t="s">
        <v>112</v>
      </c>
      <c r="F44" s="6" t="s">
        <v>147</v>
      </c>
      <c r="G44" s="17">
        <v>1.5200778150000001</v>
      </c>
      <c r="H44" s="6">
        <v>4</v>
      </c>
      <c r="I44" s="38">
        <v>45.308067430000001</v>
      </c>
      <c r="J44" s="43" t="s">
        <v>238</v>
      </c>
    </row>
    <row r="45" spans="2:10" x14ac:dyDescent="0.3">
      <c r="B45" s="8">
        <v>1014</v>
      </c>
      <c r="C45" s="8">
        <v>12.101425069999999</v>
      </c>
      <c r="D45" s="8">
        <v>21</v>
      </c>
      <c r="E45" s="8" t="s">
        <v>112</v>
      </c>
      <c r="F45" s="8" t="s">
        <v>148</v>
      </c>
      <c r="G45" s="18">
        <v>1.7515809579999999</v>
      </c>
      <c r="H45" s="8">
        <v>4</v>
      </c>
      <c r="I45" s="39">
        <v>42.152137605</v>
      </c>
      <c r="J45" s="40" t="s">
        <v>241</v>
      </c>
    </row>
    <row r="46" spans="2:10" x14ac:dyDescent="0.3">
      <c r="B46" s="6">
        <v>1015</v>
      </c>
      <c r="C46" s="6">
        <v>11.19781064</v>
      </c>
      <c r="D46" s="6">
        <v>9</v>
      </c>
      <c r="E46" s="6" t="s">
        <v>109</v>
      </c>
      <c r="F46" s="6" t="s">
        <v>146</v>
      </c>
      <c r="G46" s="17">
        <v>2.3967881169999998</v>
      </c>
      <c r="H46" s="6">
        <v>3</v>
      </c>
      <c r="I46" s="38">
        <v>60.29671596</v>
      </c>
      <c r="J46" s="44" t="s">
        <v>237</v>
      </c>
    </row>
    <row r="47" spans="2:10" x14ac:dyDescent="0.3">
      <c r="B47" s="8">
        <v>1016</v>
      </c>
      <c r="C47" s="8">
        <v>9.7281007109999997</v>
      </c>
      <c r="D47" s="8">
        <v>17</v>
      </c>
      <c r="E47" s="8" t="s">
        <v>109</v>
      </c>
      <c r="F47" s="8" t="s">
        <v>144</v>
      </c>
      <c r="G47" s="18">
        <v>1.3415207170000001</v>
      </c>
      <c r="H47" s="8">
        <v>4</v>
      </c>
      <c r="I47" s="39">
        <v>42.592151066500001</v>
      </c>
      <c r="J47" s="40" t="s">
        <v>241</v>
      </c>
    </row>
    <row r="48" spans="2:10" x14ac:dyDescent="0.3">
      <c r="B48" s="6">
        <v>1017</v>
      </c>
      <c r="C48" s="6">
        <v>10.09865608</v>
      </c>
      <c r="D48" s="6">
        <v>14</v>
      </c>
      <c r="E48" s="6" t="s">
        <v>112</v>
      </c>
      <c r="F48" s="6" t="s">
        <v>146</v>
      </c>
      <c r="G48" s="17">
        <v>2.2321752780000002</v>
      </c>
      <c r="H48" s="6">
        <v>3</v>
      </c>
      <c r="I48" s="38">
        <v>48.647984119999997</v>
      </c>
      <c r="J48" s="43" t="s">
        <v>238</v>
      </c>
    </row>
    <row r="49" spans="2:13" x14ac:dyDescent="0.3">
      <c r="B49" s="8">
        <v>1018</v>
      </c>
      <c r="C49" s="8">
        <v>3.528238209</v>
      </c>
      <c r="D49" s="8">
        <v>16</v>
      </c>
      <c r="E49" s="8" t="s">
        <v>109</v>
      </c>
      <c r="F49" s="8" t="s">
        <v>146</v>
      </c>
      <c r="G49" s="18">
        <v>1.3844041760000001</v>
      </c>
      <c r="H49" s="8">
        <v>4</v>
      </c>
      <c r="I49" s="39">
        <v>41.792357313499998</v>
      </c>
      <c r="J49" s="40" t="s">
        <v>241</v>
      </c>
    </row>
    <row r="50" spans="2:13" x14ac:dyDescent="0.3">
      <c r="B50" s="6">
        <v>1019</v>
      </c>
      <c r="C50" s="6">
        <v>16.25465809</v>
      </c>
      <c r="D50" s="6">
        <v>29</v>
      </c>
      <c r="E50" s="6" t="s">
        <v>112</v>
      </c>
      <c r="F50" s="6" t="s">
        <v>146</v>
      </c>
      <c r="G50" s="17">
        <v>0.46955332300000002</v>
      </c>
      <c r="H50" s="6">
        <v>4</v>
      </c>
      <c r="I50" s="38">
        <v>42.881987135000003</v>
      </c>
      <c r="J50" s="41" t="s">
        <v>241</v>
      </c>
    </row>
    <row r="51" spans="2:13" x14ac:dyDescent="0.3">
      <c r="B51" s="8">
        <v>1020</v>
      </c>
      <c r="C51" s="8">
        <v>10.835206400000001</v>
      </c>
      <c r="D51" s="8">
        <v>9</v>
      </c>
      <c r="E51" s="8" t="s">
        <v>112</v>
      </c>
      <c r="F51" s="8" t="s">
        <v>146</v>
      </c>
      <c r="G51" s="18">
        <v>2.3957840949999998</v>
      </c>
      <c r="H51" s="8">
        <v>3</v>
      </c>
      <c r="I51" s="39">
        <v>44.752809599999999</v>
      </c>
      <c r="J51" s="40" t="s">
        <v>241</v>
      </c>
    </row>
    <row r="52" spans="2:13" x14ac:dyDescent="0.3">
      <c r="B52" s="6">
        <v>1021</v>
      </c>
      <c r="C52" s="6">
        <v>2.6215972340000002</v>
      </c>
      <c r="D52" s="6">
        <v>2</v>
      </c>
      <c r="E52" s="6" t="s">
        <v>112</v>
      </c>
      <c r="F52" s="6" t="s">
        <v>147</v>
      </c>
      <c r="G52" s="17">
        <v>2.7784113000000001</v>
      </c>
      <c r="H52" s="6">
        <v>2</v>
      </c>
      <c r="I52" s="38">
        <v>43.182395851000003</v>
      </c>
      <c r="J52" s="41" t="s">
        <v>241</v>
      </c>
    </row>
    <row r="53" spans="2:13" x14ac:dyDescent="0.3">
      <c r="B53" s="8">
        <v>1022</v>
      </c>
      <c r="C53" s="8">
        <v>15.32314203</v>
      </c>
      <c r="D53" s="8">
        <v>25</v>
      </c>
      <c r="E53" s="8" t="s">
        <v>112</v>
      </c>
      <c r="F53" s="8" t="s">
        <v>145</v>
      </c>
      <c r="G53" s="18">
        <v>0.34689403699999999</v>
      </c>
      <c r="H53" s="8">
        <v>4</v>
      </c>
      <c r="I53" s="39">
        <v>41.734713044999999</v>
      </c>
      <c r="J53" s="40" t="s">
        <v>241</v>
      </c>
    </row>
    <row r="54" spans="2:13" x14ac:dyDescent="0.3">
      <c r="B54" s="6">
        <v>1023</v>
      </c>
      <c r="C54" s="6">
        <v>18.648879569999998</v>
      </c>
      <c r="D54" s="6">
        <v>29</v>
      </c>
      <c r="E54" s="6" t="s">
        <v>109</v>
      </c>
      <c r="F54" s="6" t="s">
        <v>145</v>
      </c>
      <c r="G54" s="17">
        <v>0.31254623100000001</v>
      </c>
      <c r="H54" s="6">
        <v>4</v>
      </c>
      <c r="I54" s="38">
        <v>47.723319355000001</v>
      </c>
      <c r="J54" s="43" t="s">
        <v>238</v>
      </c>
    </row>
    <row r="55" spans="2:13" x14ac:dyDescent="0.3">
      <c r="B55" s="8">
        <v>1024</v>
      </c>
      <c r="C55" s="8">
        <v>18.94613798</v>
      </c>
      <c r="D55" s="8">
        <v>20</v>
      </c>
      <c r="E55" s="8" t="s">
        <v>112</v>
      </c>
      <c r="F55" s="8" t="s">
        <v>146</v>
      </c>
      <c r="G55" s="18">
        <v>1.7701318770000001</v>
      </c>
      <c r="H55" s="8">
        <v>4</v>
      </c>
      <c r="I55" s="39">
        <v>55.919206969999998</v>
      </c>
      <c r="J55" s="42" t="s">
        <v>238</v>
      </c>
    </row>
    <row r="56" spans="2:13" x14ac:dyDescent="0.3">
      <c r="B56" s="6">
        <v>1025</v>
      </c>
      <c r="C56" s="6">
        <v>7.380354648</v>
      </c>
      <c r="D56" s="6">
        <v>15</v>
      </c>
      <c r="E56" s="6" t="s">
        <v>112</v>
      </c>
      <c r="F56" s="6" t="s">
        <v>146</v>
      </c>
      <c r="G56" s="17">
        <v>1.505155622</v>
      </c>
      <c r="H56" s="6">
        <v>4</v>
      </c>
      <c r="I56" s="38">
        <v>33.570531971999998</v>
      </c>
      <c r="J56" s="41" t="s">
        <v>241</v>
      </c>
    </row>
    <row r="57" spans="2:13" x14ac:dyDescent="0.3">
      <c r="B57" s="8">
        <v>1026</v>
      </c>
      <c r="C57" s="8">
        <v>2.7103374709999999</v>
      </c>
      <c r="D57" s="8">
        <v>5</v>
      </c>
      <c r="E57" s="8" t="s">
        <v>112</v>
      </c>
      <c r="F57" s="8" t="s">
        <v>148</v>
      </c>
      <c r="G57" s="18">
        <v>2.9778519179999998</v>
      </c>
      <c r="H57" s="8">
        <v>2</v>
      </c>
      <c r="I57" s="39">
        <v>44.065506206499997</v>
      </c>
      <c r="J57" s="40" t="s">
        <v>241</v>
      </c>
    </row>
    <row r="58" spans="2:13" x14ac:dyDescent="0.3">
      <c r="B58" s="6">
        <v>1027</v>
      </c>
      <c r="C58" s="6">
        <v>10.36799253</v>
      </c>
      <c r="D58" s="6">
        <v>2</v>
      </c>
      <c r="E58" s="6" t="s">
        <v>112</v>
      </c>
      <c r="F58" s="6" t="s">
        <v>146</v>
      </c>
      <c r="G58" s="17">
        <v>2.9487176719999999</v>
      </c>
      <c r="H58" s="6">
        <v>2</v>
      </c>
      <c r="I58" s="38">
        <v>51.051988795</v>
      </c>
      <c r="J58" s="43" t="s">
        <v>238</v>
      </c>
    </row>
    <row r="59" spans="2:13" x14ac:dyDescent="0.3">
      <c r="B59" s="8">
        <v>1028</v>
      </c>
      <c r="C59" s="8">
        <v>2.2521845869999999</v>
      </c>
      <c r="D59" s="8">
        <v>8</v>
      </c>
      <c r="E59" s="8" t="s">
        <v>112</v>
      </c>
      <c r="F59" s="8" t="s">
        <v>147</v>
      </c>
      <c r="G59" s="18">
        <v>2.1452047200000002</v>
      </c>
      <c r="H59" s="8">
        <v>3</v>
      </c>
      <c r="I59" s="39">
        <v>36.628276880500003</v>
      </c>
      <c r="J59" s="40" t="s">
        <v>241</v>
      </c>
    </row>
    <row r="60" spans="2:13" x14ac:dyDescent="0.3">
      <c r="B60" s="6">
        <v>1029</v>
      </c>
      <c r="C60" s="6">
        <v>18.679748369999999</v>
      </c>
      <c r="D60" s="6">
        <v>10</v>
      </c>
      <c r="E60" s="6" t="s">
        <v>112</v>
      </c>
      <c r="F60" s="6" t="s">
        <v>147</v>
      </c>
      <c r="G60" s="17">
        <v>2.854803929</v>
      </c>
      <c r="H60" s="6">
        <v>2</v>
      </c>
      <c r="I60" s="38">
        <v>69.269622554999998</v>
      </c>
      <c r="J60" s="44" t="s">
        <v>237</v>
      </c>
    </row>
    <row r="61" spans="2:13" x14ac:dyDescent="0.3">
      <c r="B61" s="8">
        <v>1030</v>
      </c>
      <c r="C61" s="8">
        <v>3.6715925469999999</v>
      </c>
      <c r="D61" s="8">
        <v>20</v>
      </c>
      <c r="E61" s="8" t="s">
        <v>112</v>
      </c>
      <c r="F61" s="8" t="s">
        <v>147</v>
      </c>
      <c r="G61" s="18">
        <v>1.5194417259999999</v>
      </c>
      <c r="H61" s="8">
        <v>4</v>
      </c>
      <c r="I61" s="39">
        <v>36.757388820499997</v>
      </c>
      <c r="J61" s="40" t="s">
        <v>241</v>
      </c>
    </row>
    <row r="63" spans="2:13" ht="7.5" customHeight="1" x14ac:dyDescent="0.3"/>
    <row r="64" spans="2:13" ht="24.75" customHeight="1" x14ac:dyDescent="0.3">
      <c r="B64" s="73" t="s">
        <v>247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spans="2:13" ht="15" customHeight="1" x14ac:dyDescent="0.3">
      <c r="B65" s="5" t="s">
        <v>248</v>
      </c>
      <c r="C65" s="77" t="s">
        <v>249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</row>
    <row r="66" spans="2:13" ht="19.5" customHeight="1" x14ac:dyDescent="0.3">
      <c r="B66" s="6" t="s">
        <v>250</v>
      </c>
      <c r="C66" s="78" t="s">
        <v>251</v>
      </c>
      <c r="D66" s="78"/>
      <c r="E66" s="78"/>
      <c r="F66" s="78"/>
      <c r="G66" s="78"/>
      <c r="H66" s="78"/>
      <c r="I66" s="78"/>
      <c r="J66" s="78"/>
      <c r="K66" s="78"/>
      <c r="L66" s="78"/>
      <c r="M66" s="78"/>
    </row>
    <row r="67" spans="2:13" ht="19.5" customHeight="1" x14ac:dyDescent="0.3">
      <c r="B67" s="8" t="s">
        <v>252</v>
      </c>
      <c r="C67" s="79" t="s">
        <v>253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 spans="2:13" ht="19.5" customHeight="1" x14ac:dyDescent="0.3">
      <c r="B68" s="6" t="s">
        <v>254</v>
      </c>
      <c r="C68" s="78" t="s">
        <v>255</v>
      </c>
      <c r="D68" s="78"/>
      <c r="E68" s="78"/>
      <c r="F68" s="78"/>
      <c r="G68" s="78"/>
      <c r="H68" s="78"/>
      <c r="I68" s="78"/>
      <c r="J68" s="78"/>
      <c r="K68" s="78"/>
      <c r="L68" s="78"/>
      <c r="M68" s="78"/>
    </row>
    <row r="69" spans="2:13" ht="19.5" customHeight="1" x14ac:dyDescent="0.3">
      <c r="B69" s="8" t="s">
        <v>256</v>
      </c>
      <c r="C69" s="79" t="s">
        <v>257</v>
      </c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 spans="2:13" ht="19.5" customHeight="1" x14ac:dyDescent="0.3">
      <c r="B70" s="6" t="s">
        <v>258</v>
      </c>
      <c r="C70" s="78" t="s">
        <v>259</v>
      </c>
      <c r="D70" s="78"/>
      <c r="E70" s="78"/>
      <c r="F70" s="78"/>
      <c r="G70" s="78"/>
      <c r="H70" s="78"/>
      <c r="I70" s="78"/>
      <c r="J70" s="78"/>
      <c r="K70" s="78"/>
      <c r="L70" s="78"/>
      <c r="M70" s="78"/>
    </row>
    <row r="71" spans="2:13" ht="19.5" customHeight="1" x14ac:dyDescent="0.3">
      <c r="B71" s="8" t="s">
        <v>260</v>
      </c>
      <c r="C71" s="79" t="s">
        <v>261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 spans="2:13" ht="19.5" customHeight="1" x14ac:dyDescent="0.3">
      <c r="B72" s="6" t="s">
        <v>262</v>
      </c>
      <c r="C72" s="78" t="s">
        <v>263</v>
      </c>
      <c r="D72" s="78"/>
      <c r="E72" s="78"/>
      <c r="F72" s="78"/>
      <c r="G72" s="78"/>
      <c r="H72" s="78"/>
      <c r="I72" s="78"/>
      <c r="J72" s="78"/>
      <c r="K72" s="78"/>
      <c r="L72" s="78"/>
      <c r="M72" s="78"/>
    </row>
  </sheetData>
  <mergeCells count="26">
    <mergeCell ref="B1:N1"/>
    <mergeCell ref="B3:M3"/>
    <mergeCell ref="C4:M4"/>
    <mergeCell ref="C5:M5"/>
    <mergeCell ref="C6:M6"/>
    <mergeCell ref="C7:M7"/>
    <mergeCell ref="C8:M8"/>
    <mergeCell ref="C9:M9"/>
    <mergeCell ref="B12:G12"/>
    <mergeCell ref="D13:G13"/>
    <mergeCell ref="D14:G14"/>
    <mergeCell ref="D15:G15"/>
    <mergeCell ref="D16:G16"/>
    <mergeCell ref="D17:G17"/>
    <mergeCell ref="D18:G18"/>
    <mergeCell ref="B21:H21"/>
    <mergeCell ref="B30:J30"/>
    <mergeCell ref="B64:M64"/>
    <mergeCell ref="C65:M65"/>
    <mergeCell ref="C66:M66"/>
    <mergeCell ref="C72:M72"/>
    <mergeCell ref="C67:M67"/>
    <mergeCell ref="C68:M68"/>
    <mergeCell ref="C69:M69"/>
    <mergeCell ref="C70:M70"/>
    <mergeCell ref="C71:M7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Data Overview</vt:lpstr>
      <vt:lpstr>🧹 Data Cleaning</vt:lpstr>
      <vt:lpstr>📊 EDA</vt:lpstr>
      <vt:lpstr>📊 Dashboard</vt:lpstr>
      <vt:lpstr>🤖 Predictive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Samaa Hamdy</cp:lastModifiedBy>
  <cp:revision>1</cp:revision>
  <dcterms:created xsi:type="dcterms:W3CDTF">2026-05-25T15:55:06Z</dcterms:created>
  <dcterms:modified xsi:type="dcterms:W3CDTF">2026-05-29T00:04:34Z</dcterms:modified>
  <dc:language>en-US</dc:language>
</cp:coreProperties>
</file>